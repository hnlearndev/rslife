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fa92" sheetId="1" state="visible" r:id="rId3"/>
    <sheet name="pfa92c20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<sst xmlns="http://schemas.openxmlformats.org/spreadsheetml/2006/main" count="8" uniqueCount="6">
  <si>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age</t>
  </si>
  <si>
    <t xml:space="preserve">qx</t>
  </si>
  <si>
    <t xml:space="preserve">alpha</t>
  </si>
  <si>
    <t xml:space="preserve">feta</t>
  </si>
  <si>
    <t xml:space="preserve">qx_2020</t>
  </si>
  <si>
    <t xml:space="preserve">round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</si>
</sst>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77" colorId="64" zoomScale="80" zoomScaleNormal="80" zoomScalePageLayoutView="100" workbookViewId="0">
      <selection pane="topLeft" activeCell="D2" activeCellId="1" sqref="D35:D36 D2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5.19"/>
    <col collapsed="false" customWidth="true" hidden="false" outlineLevel="0" max="2" min="2" style="1" width="9.88"/>
    <col collapsed="false" customWidth="true" hidden="false" outlineLevel="0" max="3" min="3" style="1" width="7.45"/>
    <col collapsed="false" customWidth="true" hidden="false" outlineLevel="0" max="5" min="5" style="1" width="14.08"/>
    <col collapsed="false" customWidth="true" hidden="false" outlineLevel="0" max="6" min="6" style="1" width="22.05"/>
    <col collapsed="false" customWidth="true" hidden="false" outlineLevel="0" max="7" min="7" style="1" width="17.19"/>
  </cols>
  <sheetData>
    <row r="1" customFormat="false" ht="12.75" hidden="false" customHeight="false" outlineLevel="0" collapsed="false">
      <c r="A1" s="2" t="s">
        <v>0</v>
      </c>
      <c r="B1" s="3" t="s">
        <v>1</v>
      </c>
      <c r="C1" s="1" t="s">
        <v>2</v>
      </c>
      <c r="D1" s="1" t="s">
        <v>3</v>
      </c>
      <c r="E1" s="1" t="n">
        <v>2020</v>
      </c>
      <c r="F1" s="1" t="s">
        <v>4</v>
      </c>
      <c r="G1" s="1" t="s">
        <v>5</v>
      </c>
    </row>
    <row r="2" customFormat="false" ht="12.75" hidden="false" customHeight="false" outlineLevel="0" collapsed="false">
      <c r="A2" s="2" t="n">
        <v>20</v>
      </c>
      <c r="B2" s="3" t="n">
        <v>0.000203</v>
      </c>
      <c r="C2" s="1" t="n">
        <f aca="false">IF(A2&lt;60,0.13,
IF(A2&lt;=110,1-0.87*((110-A2)/50),1))</f>
        <v>0.13</v>
      </c>
      <c r="D2" s="1" t="n">
        <f aca="false">IF(A2&lt;60,0.55,
IF(A2&lt;=110,0.55*((110-A2)/50)+0.29*((A2-60)/50),0.29))</f>
        <v>0.55</v>
      </c>
      <c r="E2" s="1" t="n">
        <f aca="false">C2+(1-C2)*(1-D2)^(($E$1-1992)/20)</f>
        <v>0.414457095906267</v>
      </c>
      <c r="F2" s="1" t="n">
        <f aca="false">B2*E2</f>
        <v>8.41347904689721E-005</v>
      </c>
      <c r="G2" s="1" t="n">
        <f aca="false">ROUND(F2,6)</f>
        <v>8.4E-005</v>
      </c>
    </row>
    <row r="3" customFormat="false" ht="12.75" hidden="false" customHeight="false" outlineLevel="0" collapsed="false">
      <c r="A3" s="2" t="n">
        <v>21</v>
      </c>
      <c r="B3" s="3" t="n">
        <v>0.000202</v>
      </c>
      <c r="C3" s="1" t="n">
        <f aca="false">IF(A3&lt;60,0.13,
IF(A3&lt;=110,1-0.87*((110-A3)/50),1))</f>
        <v>0.13</v>
      </c>
      <c r="D3" s="1" t="n">
        <f aca="false">IF(A3&lt;60,0.55,
IF(A3&lt;=110,0.55*((110-A3)/50)+0.29*((A3-60)/50),0.29))</f>
        <v>0.55</v>
      </c>
      <c r="E3" s="1" t="n">
        <f aca="false">C3+(1-C3)*(1-D3)^(($E$1-1992)/20)</f>
        <v>0.414457095906267</v>
      </c>
      <c r="F3" s="1" t="n">
        <f aca="false">B3*E3</f>
        <v>8.37203333730658E-005</v>
      </c>
      <c r="G3" s="1" t="n">
        <f aca="false">ROUND(F3,6)</f>
        <v>8.4E-005</v>
      </c>
    </row>
    <row r="4" customFormat="false" ht="12.75" hidden="false" customHeight="false" outlineLevel="0" collapsed="false">
      <c r="A4" s="2" t="n">
        <v>22</v>
      </c>
      <c r="B4" s="3" t="n">
        <v>0.000202</v>
      </c>
      <c r="C4" s="1" t="n">
        <f aca="false">IF(A4&lt;60,0.13,
IF(A4&lt;=110,1-0.87*((110-A4)/50),1))</f>
        <v>0.13</v>
      </c>
      <c r="D4" s="1" t="n">
        <f aca="false">IF(A4&lt;60,0.55,
IF(A4&lt;=110,0.55*((110-A4)/50)+0.29*((A4-60)/50),0.29))</f>
        <v>0.55</v>
      </c>
      <c r="E4" s="1" t="n">
        <f aca="false">C4+(1-C4)*(1-D4)^(($E$1-1992)/20)</f>
        <v>0.414457095906267</v>
      </c>
      <c r="F4" s="1" t="n">
        <f aca="false">B4*E4</f>
        <v>8.37203333730658E-005</v>
      </c>
      <c r="G4" s="1" t="n">
        <f aca="false">ROUND(F4,6)</f>
        <v>8.4E-005</v>
      </c>
    </row>
    <row r="5" customFormat="false" ht="12.75" hidden="false" customHeight="false" outlineLevel="0" collapsed="false">
      <c r="A5" s="2" t="n">
        <v>23</v>
      </c>
      <c r="B5" s="3" t="n">
        <v>0.000202</v>
      </c>
      <c r="C5" s="1" t="n">
        <f aca="false">IF(A5&lt;60,0.13,
IF(A5&lt;=110,1-0.87*((110-A5)/50),1))</f>
        <v>0.13</v>
      </c>
      <c r="D5" s="1" t="n">
        <f aca="false">IF(A5&lt;60,0.55,
IF(A5&lt;=110,0.55*((110-A5)/50)+0.29*((A5-60)/50),0.29))</f>
        <v>0.55</v>
      </c>
      <c r="E5" s="1" t="n">
        <f aca="false">C5+(1-C5)*(1-D5)^(($E$1-1992)/20)</f>
        <v>0.414457095906267</v>
      </c>
      <c r="F5" s="1" t="n">
        <f aca="false">B5*E5</f>
        <v>8.37203333730658E-005</v>
      </c>
      <c r="G5" s="1" t="n">
        <f aca="false">ROUND(F5,6)</f>
        <v>8.4E-005</v>
      </c>
    </row>
    <row r="6" customFormat="false" ht="12.75" hidden="false" customHeight="false" outlineLevel="0" collapsed="false">
      <c r="A6" s="2" t="n">
        <v>24</v>
      </c>
      <c r="B6" s="3" t="n">
        <v>0.000202</v>
      </c>
      <c r="C6" s="1" t="n">
        <f aca="false">IF(A6&lt;60,0.13,
IF(A6&lt;=110,1-0.87*((110-A6)/50),1))</f>
        <v>0.13</v>
      </c>
      <c r="D6" s="1" t="n">
        <f aca="false">IF(A6&lt;60,0.55,
IF(A6&lt;=110,0.55*((110-A6)/50)+0.29*((A6-60)/50),0.29))</f>
        <v>0.55</v>
      </c>
      <c r="E6" s="1" t="n">
        <f aca="false">C6+(1-C6)*(1-D6)^(($E$1-1992)/20)</f>
        <v>0.414457095906267</v>
      </c>
      <c r="F6" s="1" t="n">
        <f aca="false">B6*E6</f>
        <v>8.37203333730658E-005</v>
      </c>
      <c r="G6" s="1" t="n">
        <f aca="false">ROUND(F6,6)</f>
        <v>8.4E-005</v>
      </c>
    </row>
    <row r="7" customFormat="false" ht="12.75" hidden="false" customHeight="false" outlineLevel="0" collapsed="false">
      <c r="A7" s="2" t="n">
        <v>25</v>
      </c>
      <c r="B7" s="3" t="n">
        <v>0.000203</v>
      </c>
      <c r="C7" s="1" t="n">
        <f aca="false">IF(A7&lt;60,0.13,
IF(A7&lt;=110,1-0.87*((110-A7)/50),1))</f>
        <v>0.13</v>
      </c>
      <c r="D7" s="1" t="n">
        <f aca="false">IF(A7&lt;60,0.55,
IF(A7&lt;=110,0.55*((110-A7)/50)+0.29*((A7-60)/50),0.29))</f>
        <v>0.55</v>
      </c>
      <c r="E7" s="1" t="n">
        <f aca="false">C7+(1-C7)*(1-D7)^(($E$1-1992)/20)</f>
        <v>0.414457095906267</v>
      </c>
      <c r="F7" s="1" t="n">
        <f aca="false">B7*E7</f>
        <v>8.41347904689721E-005</v>
      </c>
      <c r="G7" s="1" t="n">
        <f aca="false">ROUND(F7,6)</f>
        <v>8.4E-005</v>
      </c>
    </row>
    <row r="8" customFormat="false" ht="12.75" hidden="false" customHeight="false" outlineLevel="0" collapsed="false">
      <c r="A8" s="2" t="n">
        <v>26</v>
      </c>
      <c r="B8" s="3" t="n">
        <v>0.000204</v>
      </c>
      <c r="C8" s="1" t="n">
        <f aca="false">IF(A8&lt;60,0.13,
IF(A8&lt;=110,1-0.87*((110-A8)/50),1))</f>
        <v>0.13</v>
      </c>
      <c r="D8" s="1" t="n">
        <f aca="false">IF(A8&lt;60,0.55,
IF(A8&lt;=110,0.55*((110-A8)/50)+0.29*((A8-60)/50),0.29))</f>
        <v>0.55</v>
      </c>
      <c r="E8" s="1" t="n">
        <f aca="false">C8+(1-C8)*(1-D8)^(($E$1-1992)/20)</f>
        <v>0.414457095906267</v>
      </c>
      <c r="F8" s="1" t="n">
        <f aca="false">B8*E8</f>
        <v>8.45492475648784E-005</v>
      </c>
      <c r="G8" s="1" t="n">
        <f aca="false">ROUND(F8,6)</f>
        <v>8.5E-005</v>
      </c>
    </row>
    <row r="9" customFormat="false" ht="12.75" hidden="false" customHeight="false" outlineLevel="0" collapsed="false">
      <c r="A9" s="2" t="n">
        <v>27</v>
      </c>
      <c r="B9" s="3" t="n">
        <v>0.000206</v>
      </c>
      <c r="C9" s="1" t="n">
        <f aca="false">IF(A9&lt;60,0.13,
IF(A9&lt;=110,1-0.87*((110-A9)/50),1))</f>
        <v>0.13</v>
      </c>
      <c r="D9" s="1" t="n">
        <f aca="false">IF(A9&lt;60,0.55,
IF(A9&lt;=110,0.55*((110-A9)/50)+0.29*((A9-60)/50),0.29))</f>
        <v>0.55</v>
      </c>
      <c r="E9" s="1" t="n">
        <f aca="false">C9+(1-C9)*(1-D9)^(($E$1-1992)/20)</f>
        <v>0.414457095906267</v>
      </c>
      <c r="F9" s="1" t="n">
        <f aca="false">B9*E9</f>
        <v>8.53781617566909E-005</v>
      </c>
      <c r="G9" s="1" t="n">
        <f aca="false">ROUND(F9,6)</f>
        <v>8.5E-005</v>
      </c>
    </row>
    <row r="10" customFormat="false" ht="12.75" hidden="false" customHeight="false" outlineLevel="0" collapsed="false">
      <c r="A10" s="2" t="n">
        <v>28</v>
      </c>
      <c r="B10" s="3" t="n">
        <v>0.000209</v>
      </c>
      <c r="C10" s="1" t="n">
        <f aca="false">IF(A10&lt;60,0.13,
IF(A10&lt;=110,1-0.87*((110-A10)/50),1))</f>
        <v>0.13</v>
      </c>
      <c r="D10" s="1" t="n">
        <f aca="false">IF(A10&lt;60,0.55,
IF(A10&lt;=110,0.55*((110-A10)/50)+0.29*((A10-60)/50),0.29))</f>
        <v>0.55</v>
      </c>
      <c r="E10" s="1" t="n">
        <f aca="false">C10+(1-C10)*(1-D10)^(($E$1-1992)/20)</f>
        <v>0.414457095906267</v>
      </c>
      <c r="F10" s="1" t="n">
        <f aca="false">B10*E10</f>
        <v>8.66215330444097E-005</v>
      </c>
      <c r="G10" s="1" t="n">
        <f aca="false">ROUND(F10,6)</f>
        <v>8.7E-005</v>
      </c>
    </row>
    <row r="11" customFormat="false" ht="12.75" hidden="false" customHeight="false" outlineLevel="0" collapsed="false">
      <c r="A11" s="2" t="n">
        <v>29</v>
      </c>
      <c r="B11" s="3" t="n">
        <v>0.000212</v>
      </c>
      <c r="C11" s="1" t="n">
        <f aca="false">IF(A11&lt;60,0.13,
IF(A11&lt;=110,1-0.87*((110-A11)/50),1))</f>
        <v>0.13</v>
      </c>
      <c r="D11" s="1" t="n">
        <f aca="false">IF(A11&lt;60,0.55,
IF(A11&lt;=110,0.55*((110-A11)/50)+0.29*((A11-60)/50),0.29))</f>
        <v>0.55</v>
      </c>
      <c r="E11" s="1" t="n">
        <f aca="false">C11+(1-C11)*(1-D11)^(($E$1-1992)/20)</f>
        <v>0.414457095906267</v>
      </c>
      <c r="F11" s="1" t="n">
        <f aca="false">B11*E11</f>
        <v>8.78649043321285E-005</v>
      </c>
      <c r="G11" s="1" t="n">
        <f aca="false">ROUND(F11,6)</f>
        <v>8.8E-005</v>
      </c>
    </row>
    <row r="12" customFormat="false" ht="12.75" hidden="false" customHeight="false" outlineLevel="0" collapsed="false">
      <c r="A12" s="2" t="n">
        <v>30</v>
      </c>
      <c r="B12" s="3" t="n">
        <v>0.000217</v>
      </c>
      <c r="C12" s="1" t="n">
        <f aca="false">IF(A12&lt;60,0.13,
IF(A12&lt;=110,1-0.87*((110-A12)/50),1))</f>
        <v>0.13</v>
      </c>
      <c r="D12" s="1" t="n">
        <f aca="false">IF(A12&lt;60,0.55,
IF(A12&lt;=110,0.55*((110-A12)/50)+0.29*((A12-60)/50),0.29))</f>
        <v>0.55</v>
      </c>
      <c r="E12" s="1" t="n">
        <f aca="false">C12+(1-C12)*(1-D12)^(($E$1-1992)/20)</f>
        <v>0.414457095906267</v>
      </c>
      <c r="F12" s="1" t="n">
        <f aca="false">B12*E12</f>
        <v>8.99371898116598E-005</v>
      </c>
      <c r="G12" s="1" t="n">
        <f aca="false">ROUND(F12,6)</f>
        <v>9E-005</v>
      </c>
    </row>
    <row r="13" customFormat="false" ht="12.75" hidden="false" customHeight="false" outlineLevel="0" collapsed="false">
      <c r="A13" s="2" t="n">
        <v>31</v>
      </c>
      <c r="B13" s="3" t="n">
        <v>0.000222</v>
      </c>
      <c r="C13" s="1" t="n">
        <f aca="false">IF(A13&lt;60,0.13,
IF(A13&lt;=110,1-0.87*((110-A13)/50),1))</f>
        <v>0.13</v>
      </c>
      <c r="D13" s="1" t="n">
        <f aca="false">IF(A13&lt;60,0.55,
IF(A13&lt;=110,0.55*((110-A13)/50)+0.29*((A13-60)/50),0.29))</f>
        <v>0.55</v>
      </c>
      <c r="E13" s="1" t="n">
        <f aca="false">C13+(1-C13)*(1-D13)^(($E$1-1992)/20)</f>
        <v>0.414457095906267</v>
      </c>
      <c r="F13" s="1" t="n">
        <f aca="false">B13*E13</f>
        <v>9.20094752911912E-005</v>
      </c>
      <c r="G13" s="1" t="n">
        <f aca="false">ROUND(F13,6)</f>
        <v>9.2E-005</v>
      </c>
    </row>
    <row r="14" customFormat="false" ht="12.75" hidden="false" customHeight="false" outlineLevel="0" collapsed="false">
      <c r="A14" s="2" t="n">
        <v>32</v>
      </c>
      <c r="B14" s="3" t="n">
        <v>0.00023</v>
      </c>
      <c r="C14" s="1" t="n">
        <f aca="false">IF(A14&lt;60,0.13,
IF(A14&lt;=110,1-0.87*((110-A14)/50),1))</f>
        <v>0.13</v>
      </c>
      <c r="D14" s="1" t="n">
        <f aca="false">IF(A14&lt;60,0.55,
IF(A14&lt;=110,0.55*((110-A14)/50)+0.29*((A14-60)/50),0.29))</f>
        <v>0.55</v>
      </c>
      <c r="E14" s="1" t="n">
        <f aca="false">C14+(1-C14)*(1-D14)^(($E$1-1992)/20)</f>
        <v>0.414457095906267</v>
      </c>
      <c r="F14" s="1" t="n">
        <f aca="false">B14*E14</f>
        <v>9.53251320584413E-005</v>
      </c>
      <c r="G14" s="1" t="n">
        <f aca="false">ROUND(F14,6)</f>
        <v>9.5E-005</v>
      </c>
    </row>
    <row r="15" customFormat="false" ht="12.75" hidden="false" customHeight="false" outlineLevel="0" collapsed="false">
      <c r="A15" s="2" t="n">
        <v>33</v>
      </c>
      <c r="B15" s="3" t="n">
        <v>0.000238</v>
      </c>
      <c r="C15" s="1" t="n">
        <f aca="false">IF(A15&lt;60,0.13,
IF(A15&lt;=110,1-0.87*((110-A15)/50),1))</f>
        <v>0.13</v>
      </c>
      <c r="D15" s="1" t="n">
        <f aca="false">IF(A15&lt;60,0.55,
IF(A15&lt;=110,0.55*((110-A15)/50)+0.29*((A15-60)/50),0.29))</f>
        <v>0.55</v>
      </c>
      <c r="E15" s="1" t="n">
        <f aca="false">C15+(1-C15)*(1-D15)^(($E$1-1992)/20)</f>
        <v>0.414457095906267</v>
      </c>
      <c r="F15" s="1" t="n">
        <f aca="false">B15*E15</f>
        <v>9.86407888256914E-005</v>
      </c>
      <c r="G15" s="1" t="n">
        <f aca="false">ROUND(F15,6)</f>
        <v>9.9E-005</v>
      </c>
    </row>
    <row r="16" customFormat="false" ht="12.75" hidden="false" customHeight="false" outlineLevel="0" collapsed="false">
      <c r="A16" s="2" t="n">
        <v>34</v>
      </c>
      <c r="B16" s="3" t="n">
        <v>0.000249</v>
      </c>
      <c r="C16" s="1" t="n">
        <f aca="false">IF(A16&lt;60,0.13,
IF(A16&lt;=110,1-0.87*((110-A16)/50),1))</f>
        <v>0.13</v>
      </c>
      <c r="D16" s="1" t="n">
        <f aca="false">IF(A16&lt;60,0.55,
IF(A16&lt;=110,0.55*((110-A16)/50)+0.29*((A16-60)/50),0.29))</f>
        <v>0.55</v>
      </c>
      <c r="E16" s="1" t="n">
        <f aca="false">C16+(1-C16)*(1-D16)^(($E$1-1992)/20)</f>
        <v>0.414457095906267</v>
      </c>
      <c r="F16" s="1" t="n">
        <f aca="false">B16*E16</f>
        <v>0.00010319981688066</v>
      </c>
      <c r="G16" s="1" t="n">
        <f aca="false">ROUND(F16,6)</f>
        <v>0.000103</v>
      </c>
    </row>
    <row r="17" customFormat="false" ht="12.75" hidden="false" customHeight="false" outlineLevel="0" collapsed="false">
      <c r="A17" s="2" t="n">
        <v>35</v>
      </c>
      <c r="B17" s="3" t="n">
        <v>0.000263</v>
      </c>
      <c r="C17" s="1" t="n">
        <f aca="false">IF(A17&lt;60,0.13,
IF(A17&lt;=110,1-0.87*((110-A17)/50),1))</f>
        <v>0.13</v>
      </c>
      <c r="D17" s="1" t="n">
        <f aca="false">IF(A17&lt;60,0.55,
IF(A17&lt;=110,0.55*((110-A17)/50)+0.29*((A17-60)/50),0.29))</f>
        <v>0.55</v>
      </c>
      <c r="E17" s="1" t="n">
        <f aca="false">C17+(1-C17)*(1-D17)^(($E$1-1992)/20)</f>
        <v>0.414457095906267</v>
      </c>
      <c r="F17" s="1" t="n">
        <f aca="false">B17*E17</f>
        <v>0.000109002216223348</v>
      </c>
      <c r="G17" s="1" t="n">
        <f aca="false">ROUND(F17,6)</f>
        <v>0.000109</v>
      </c>
    </row>
    <row r="18" customFormat="false" ht="12.75" hidden="false" customHeight="false" outlineLevel="0" collapsed="false">
      <c r="A18" s="2" t="n">
        <v>36</v>
      </c>
      <c r="B18" s="3" t="n">
        <v>0.000279</v>
      </c>
      <c r="C18" s="1" t="n">
        <f aca="false">IF(A18&lt;60,0.13,
IF(A18&lt;=110,1-0.87*((110-A18)/50),1))</f>
        <v>0.13</v>
      </c>
      <c r="D18" s="1" t="n">
        <f aca="false">IF(A18&lt;60,0.55,
IF(A18&lt;=110,0.55*((110-A18)/50)+0.29*((A18-60)/50),0.29))</f>
        <v>0.55</v>
      </c>
      <c r="E18" s="1" t="n">
        <f aca="false">C18+(1-C18)*(1-D18)^(($E$1-1992)/20)</f>
        <v>0.414457095906267</v>
      </c>
      <c r="F18" s="1" t="n">
        <f aca="false">B18*E18</f>
        <v>0.000115633529757848</v>
      </c>
      <c r="G18" s="1" t="n">
        <f aca="false">ROUND(F18,6)</f>
        <v>0.000116</v>
      </c>
    </row>
    <row r="19" customFormat="false" ht="12.75" hidden="false" customHeight="false" outlineLevel="0" collapsed="false">
      <c r="A19" s="2" t="n">
        <v>37</v>
      </c>
      <c r="B19" s="3" t="n">
        <v>0.000298</v>
      </c>
      <c r="C19" s="1" t="n">
        <f aca="false">IF(A19&lt;60,0.13,
IF(A19&lt;=110,1-0.87*((110-A19)/50),1))</f>
        <v>0.13</v>
      </c>
      <c r="D19" s="1" t="n">
        <f aca="false">IF(A19&lt;60,0.55,
IF(A19&lt;=110,0.55*((110-A19)/50)+0.29*((A19-60)/50),0.29))</f>
        <v>0.55</v>
      </c>
      <c r="E19" s="1" t="n">
        <f aca="false">C19+(1-C19)*(1-D19)^(($E$1-1992)/20)</f>
        <v>0.414457095906267</v>
      </c>
      <c r="F19" s="1" t="n">
        <f aca="false">B19*E19</f>
        <v>0.000123508214580067</v>
      </c>
      <c r="G19" s="1" t="n">
        <f aca="false">ROUND(F19,6)</f>
        <v>0.000124</v>
      </c>
    </row>
    <row r="20" customFormat="false" ht="12.75" hidden="false" customHeight="false" outlineLevel="0" collapsed="false">
      <c r="A20" s="2" t="n">
        <v>38</v>
      </c>
      <c r="B20" s="3" t="n">
        <v>0.000321</v>
      </c>
      <c r="C20" s="1" t="n">
        <f aca="false">IF(A20&lt;60,0.13,
IF(A20&lt;=110,1-0.87*((110-A20)/50),1))</f>
        <v>0.13</v>
      </c>
      <c r="D20" s="1" t="n">
        <f aca="false">IF(A20&lt;60,0.55,
IF(A20&lt;=110,0.55*((110-A20)/50)+0.29*((A20-60)/50),0.29))</f>
        <v>0.55</v>
      </c>
      <c r="E20" s="1" t="n">
        <f aca="false">C20+(1-C20)*(1-D20)^(($E$1-1992)/20)</f>
        <v>0.414457095906267</v>
      </c>
      <c r="F20" s="1" t="n">
        <f aca="false">B20*E20</f>
        <v>0.000133040727785912</v>
      </c>
      <c r="G20" s="1" t="n">
        <f aca="false">ROUND(F20,6)</f>
        <v>0.000133</v>
      </c>
    </row>
    <row r="21" customFormat="false" ht="12.75" hidden="false" customHeight="false" outlineLevel="0" collapsed="false">
      <c r="A21" s="2" t="n">
        <v>39</v>
      </c>
      <c r="B21" s="3" t="n">
        <v>0.000349</v>
      </c>
      <c r="C21" s="1" t="n">
        <f aca="false">IF(A21&lt;60,0.13,
IF(A21&lt;=110,1-0.87*((110-A21)/50),1))</f>
        <v>0.13</v>
      </c>
      <c r="D21" s="1" t="n">
        <f aca="false">IF(A21&lt;60,0.55,
IF(A21&lt;=110,0.55*((110-A21)/50)+0.29*((A21-60)/50),0.29))</f>
        <v>0.55</v>
      </c>
      <c r="E21" s="1" t="n">
        <f aca="false">C21+(1-C21)*(1-D21)^(($E$1-1992)/20)</f>
        <v>0.414457095906267</v>
      </c>
      <c r="F21" s="1" t="n">
        <f aca="false">B21*E21</f>
        <v>0.000144645526471287</v>
      </c>
      <c r="G21" s="1" t="n">
        <f aca="false">ROUND(F21,6)</f>
        <v>0.000145</v>
      </c>
    </row>
    <row r="22" customFormat="false" ht="12.75" hidden="false" customHeight="false" outlineLevel="0" collapsed="false">
      <c r="A22" s="2" t="n">
        <v>40</v>
      </c>
      <c r="B22" s="3" t="n">
        <v>0.000382</v>
      </c>
      <c r="C22" s="1" t="n">
        <f aca="false">IF(A22&lt;60,0.13,
IF(A22&lt;=110,1-0.87*((110-A22)/50),1))</f>
        <v>0.13</v>
      </c>
      <c r="D22" s="1" t="n">
        <f aca="false">IF(A22&lt;60,0.55,
IF(A22&lt;=110,0.55*((110-A22)/50)+0.29*((A22-60)/50),0.29))</f>
        <v>0.55</v>
      </c>
      <c r="E22" s="1" t="n">
        <f aca="false">C22+(1-C22)*(1-D22)^(($E$1-1992)/20)</f>
        <v>0.414457095906267</v>
      </c>
      <c r="F22" s="1" t="n">
        <f aca="false">B22*E22</f>
        <v>0.000158322610636194</v>
      </c>
      <c r="G22" s="1" t="n">
        <f aca="false">ROUND(F22,6)</f>
        <v>0.000158</v>
      </c>
    </row>
    <row r="23" customFormat="false" ht="12.75" hidden="false" customHeight="false" outlineLevel="0" collapsed="false">
      <c r="A23" s="2" t="n">
        <v>41</v>
      </c>
      <c r="B23" s="3" t="n">
        <v>0.000421</v>
      </c>
      <c r="C23" s="1" t="n">
        <f aca="false">IF(A23&lt;60,0.13,
IF(A23&lt;=110,1-0.87*((110-A23)/50),1))</f>
        <v>0.13</v>
      </c>
      <c r="D23" s="1" t="n">
        <f aca="false">IF(A23&lt;60,0.55,
IF(A23&lt;=110,0.55*((110-A23)/50)+0.29*((A23-60)/50),0.29))</f>
        <v>0.55</v>
      </c>
      <c r="E23" s="1" t="n">
        <f aca="false">C23+(1-C23)*(1-D23)^(($E$1-1992)/20)</f>
        <v>0.414457095906267</v>
      </c>
      <c r="F23" s="1" t="n">
        <f aca="false">B23*E23</f>
        <v>0.000174486437376538</v>
      </c>
      <c r="G23" s="1" t="n">
        <f aca="false">ROUND(F23,6)</f>
        <v>0.000174</v>
      </c>
    </row>
    <row r="24" customFormat="false" ht="12.75" hidden="false" customHeight="false" outlineLevel="0" collapsed="false">
      <c r="A24" s="2" t="n">
        <v>42</v>
      </c>
      <c r="B24" s="3" t="n">
        <v>0.000468</v>
      </c>
      <c r="C24" s="1" t="n">
        <f aca="false">IF(A24&lt;60,0.13,
IF(A24&lt;=110,1-0.87*((110-A24)/50),1))</f>
        <v>0.13</v>
      </c>
      <c r="D24" s="1" t="n">
        <f aca="false">IF(A24&lt;60,0.55,
IF(A24&lt;=110,0.55*((110-A24)/50)+0.29*((A24-60)/50),0.29))</f>
        <v>0.55</v>
      </c>
      <c r="E24" s="1" t="n">
        <f aca="false">C24+(1-C24)*(1-D24)^(($E$1-1992)/20)</f>
        <v>0.414457095906267</v>
      </c>
      <c r="F24" s="1" t="n">
        <f aca="false">B24*E24</f>
        <v>0.000193965920884133</v>
      </c>
      <c r="G24" s="1" t="n">
        <f aca="false">ROUND(F24,6)</f>
        <v>0.000194</v>
      </c>
    </row>
    <row r="25" customFormat="false" ht="12.75" hidden="false" customHeight="false" outlineLevel="0" collapsed="false">
      <c r="A25" s="2" t="n">
        <v>43</v>
      </c>
      <c r="B25" s="3" t="n">
        <v>0.000522</v>
      </c>
      <c r="C25" s="1" t="n">
        <f aca="false">IF(A25&lt;60,0.13,
IF(A25&lt;=110,1-0.87*((110-A25)/50),1))</f>
        <v>0.13</v>
      </c>
      <c r="D25" s="1" t="n">
        <f aca="false">IF(A25&lt;60,0.55,
IF(A25&lt;=110,0.55*((110-A25)/50)+0.29*((A25-60)/50),0.29))</f>
        <v>0.55</v>
      </c>
      <c r="E25" s="1" t="n">
        <f aca="false">C25+(1-C25)*(1-D25)^(($E$1-1992)/20)</f>
        <v>0.414457095906267</v>
      </c>
      <c r="F25" s="1" t="n">
        <f aca="false">B25*E25</f>
        <v>0.000216346604063071</v>
      </c>
      <c r="G25" s="1" t="n">
        <f aca="false">ROUND(F25,6)</f>
        <v>0.000216</v>
      </c>
    </row>
    <row r="26" customFormat="false" ht="12.75" hidden="false" customHeight="false" outlineLevel="0" collapsed="false">
      <c r="A26" s="2" t="n">
        <v>44</v>
      </c>
      <c r="B26" s="3" t="n">
        <v>0.000586</v>
      </c>
      <c r="C26" s="1" t="n">
        <f aca="false">IF(A26&lt;60,0.13,
IF(A26&lt;=110,1-0.87*((110-A26)/50),1))</f>
        <v>0.13</v>
      </c>
      <c r="D26" s="1" t="n">
        <f aca="false">IF(A26&lt;60,0.55,
IF(A26&lt;=110,0.55*((110-A26)/50)+0.29*((A26-60)/50),0.29))</f>
        <v>0.55</v>
      </c>
      <c r="E26" s="1" t="n">
        <f aca="false">C26+(1-C26)*(1-D26)^(($E$1-1992)/20)</f>
        <v>0.414457095906267</v>
      </c>
      <c r="F26" s="1" t="n">
        <f aca="false">B26*E26</f>
        <v>0.000242871858201072</v>
      </c>
      <c r="G26" s="1" t="n">
        <f aca="false">ROUND(F26,6)</f>
        <v>0.000243</v>
      </c>
    </row>
    <row r="27" customFormat="false" ht="12.75" hidden="false" customHeight="false" outlineLevel="0" collapsed="false">
      <c r="A27" s="2" t="n">
        <v>45</v>
      </c>
      <c r="B27" s="3" t="n">
        <v>0.000662</v>
      </c>
      <c r="C27" s="1" t="n">
        <f aca="false">IF(A27&lt;60,0.13,
IF(A27&lt;=110,1-0.87*((110-A27)/50),1))</f>
        <v>0.13</v>
      </c>
      <c r="D27" s="1" t="n">
        <f aca="false">IF(A27&lt;60,0.55,
IF(A27&lt;=110,0.55*((110-A27)/50)+0.29*((A27-60)/50),0.29))</f>
        <v>0.55</v>
      </c>
      <c r="E27" s="1" t="n">
        <f aca="false">C27+(1-C27)*(1-D27)^(($E$1-1992)/20)</f>
        <v>0.414457095906267</v>
      </c>
      <c r="F27" s="1" t="n">
        <f aca="false">B27*E27</f>
        <v>0.000274370597489948</v>
      </c>
      <c r="G27" s="1" t="n">
        <f aca="false">ROUND(F27,6)</f>
        <v>0.000274</v>
      </c>
    </row>
    <row r="28" customFormat="false" ht="12.75" hidden="false" customHeight="false" outlineLevel="0" collapsed="false">
      <c r="A28" s="2" t="n">
        <v>46</v>
      </c>
      <c r="B28" s="3" t="n">
        <v>0.00075</v>
      </c>
      <c r="C28" s="1" t="n">
        <f aca="false">IF(A28&lt;60,0.13,
IF(A28&lt;=110,1-0.87*((110-A28)/50),1))</f>
        <v>0.13</v>
      </c>
      <c r="D28" s="1" t="n">
        <f aca="false">IF(A28&lt;60,0.55,
IF(A28&lt;=110,0.55*((110-A28)/50)+0.29*((A28-60)/50),0.29))</f>
        <v>0.55</v>
      </c>
      <c r="E28" s="1" t="n">
        <f aca="false">C28+(1-C28)*(1-D28)^(($E$1-1992)/20)</f>
        <v>0.414457095906267</v>
      </c>
      <c r="F28" s="1" t="n">
        <f aca="false">B28*E28</f>
        <v>0.0003108428219297</v>
      </c>
      <c r="G28" s="1" t="n">
        <f aca="false">ROUND(F28,6)</f>
        <v>0.000311</v>
      </c>
    </row>
    <row r="29" customFormat="false" ht="12.75" hidden="false" customHeight="false" outlineLevel="0" collapsed="false">
      <c r="A29" s="2" t="n">
        <v>47</v>
      </c>
      <c r="B29" s="3" t="n">
        <v>0.000852</v>
      </c>
      <c r="C29" s="1" t="n">
        <f aca="false">IF(A29&lt;60,0.13,
IF(A29&lt;=110,1-0.87*((110-A29)/50),1))</f>
        <v>0.13</v>
      </c>
      <c r="D29" s="1" t="n">
        <f aca="false">IF(A29&lt;60,0.55,
IF(A29&lt;=110,0.55*((110-A29)/50)+0.29*((A29-60)/50),0.29))</f>
        <v>0.55</v>
      </c>
      <c r="E29" s="1" t="n">
        <f aca="false">C29+(1-C29)*(1-D29)^(($E$1-1992)/20)</f>
        <v>0.414457095906267</v>
      </c>
      <c r="F29" s="1" t="n">
        <f aca="false">B29*E29</f>
        <v>0.000353117445712139</v>
      </c>
      <c r="G29" s="1" t="n">
        <f aca="false">ROUND(F29,6)</f>
        <v>0.000353</v>
      </c>
    </row>
    <row r="30" customFormat="false" ht="12.75" hidden="false" customHeight="false" outlineLevel="0" collapsed="false">
      <c r="A30" s="2" t="n">
        <v>48</v>
      </c>
      <c r="B30" s="3" t="n">
        <v>0.000972</v>
      </c>
      <c r="C30" s="1" t="n">
        <f aca="false">IF(A30&lt;60,0.13,
IF(A30&lt;=110,1-0.87*((110-A30)/50),1))</f>
        <v>0.13</v>
      </c>
      <c r="D30" s="1" t="n">
        <f aca="false">IF(A30&lt;60,0.55,
IF(A30&lt;=110,0.55*((110-A30)/50)+0.29*((A30-60)/50),0.29))</f>
        <v>0.55</v>
      </c>
      <c r="E30" s="1" t="n">
        <f aca="false">C30+(1-C30)*(1-D30)^(($E$1-1992)/20)</f>
        <v>0.414457095906267</v>
      </c>
      <c r="F30" s="1" t="n">
        <f aca="false">B30*E30</f>
        <v>0.000402852297220891</v>
      </c>
      <c r="G30" s="1" t="n">
        <f aca="false">ROUND(F30,6)</f>
        <v>0.000403</v>
      </c>
    </row>
    <row r="31" customFormat="false" ht="12.75" hidden="false" customHeight="false" outlineLevel="0" collapsed="false">
      <c r="A31" s="2" t="n">
        <v>49</v>
      </c>
      <c r="B31" s="3" t="n">
        <v>0.00111</v>
      </c>
      <c r="C31" s="1" t="n">
        <f aca="false">IF(A31&lt;60,0.13,
IF(A31&lt;=110,1-0.87*((110-A31)/50),1))</f>
        <v>0.13</v>
      </c>
      <c r="D31" s="1" t="n">
        <f aca="false">IF(A31&lt;60,0.55,
IF(A31&lt;=110,0.55*((110-A31)/50)+0.29*((A31-60)/50),0.29))</f>
        <v>0.55</v>
      </c>
      <c r="E31" s="1" t="n">
        <f aca="false">C31+(1-C31)*(1-D31)^(($E$1-1992)/20)</f>
        <v>0.414457095906267</v>
      </c>
      <c r="F31" s="1" t="n">
        <f aca="false">B31*E31</f>
        <v>0.000460047376455956</v>
      </c>
      <c r="G31" s="1" t="n">
        <f aca="false">ROUND(F31,6)</f>
        <v>0.00046</v>
      </c>
    </row>
    <row r="32" customFormat="false" ht="12.75" hidden="false" customHeight="false" outlineLevel="0" collapsed="false">
      <c r="A32" s="2" t="n">
        <v>50</v>
      </c>
      <c r="B32" s="3" t="n">
        <v>0.001271</v>
      </c>
      <c r="C32" s="1" t="n">
        <f aca="false">IF(A32&lt;60,0.13,
IF(A32&lt;=110,1-0.87*((110-A32)/50),1))</f>
        <v>0.13</v>
      </c>
      <c r="D32" s="1" t="n">
        <f aca="false">IF(A32&lt;60,0.55,
IF(A32&lt;=110,0.55*((110-A32)/50)+0.29*((A32-60)/50),0.29))</f>
        <v>0.55</v>
      </c>
      <c r="E32" s="1" t="n">
        <f aca="false">C32+(1-C32)*(1-D32)^(($E$1-1992)/20)</f>
        <v>0.414457095906267</v>
      </c>
      <c r="F32" s="1" t="n">
        <f aca="false">B32*E32</f>
        <v>0.000526774968896865</v>
      </c>
      <c r="G32" s="1" t="n">
        <f aca="false">ROUND(F32,6)</f>
        <v>0.000527</v>
      </c>
    </row>
    <row r="33" customFormat="false" ht="12.75" hidden="false" customHeight="false" outlineLevel="0" collapsed="false">
      <c r="A33" s="2" t="n">
        <v>51</v>
      </c>
      <c r="B33" s="3" t="n">
        <v>0.001456</v>
      </c>
      <c r="C33" s="1" t="n">
        <f aca="false">IF(A33&lt;60,0.13,
IF(A33&lt;=110,1-0.87*((110-A33)/50),1))</f>
        <v>0.13</v>
      </c>
      <c r="D33" s="1" t="n">
        <f aca="false">IF(A33&lt;60,0.55,
IF(A33&lt;=110,0.55*((110-A33)/50)+0.29*((A33-60)/50),0.29))</f>
        <v>0.55</v>
      </c>
      <c r="E33" s="1" t="n">
        <f aca="false">C33+(1-C33)*(1-D33)^(($E$1-1992)/20)</f>
        <v>0.414457095906267</v>
      </c>
      <c r="F33" s="1" t="n">
        <f aca="false">B33*E33</f>
        <v>0.000603449531639524</v>
      </c>
      <c r="G33" s="1" t="n">
        <f aca="false">ROUND(F33,6)</f>
        <v>0.000603</v>
      </c>
    </row>
    <row r="34" customFormat="false" ht="12.75" hidden="false" customHeight="false" outlineLevel="0" collapsed="false">
      <c r="A34" s="2" t="n">
        <v>52</v>
      </c>
      <c r="B34" s="3" t="n">
        <v>0.00167</v>
      </c>
      <c r="C34" s="1" t="n">
        <f aca="false">IF(A34&lt;60,0.13,
IF(A34&lt;=110,1-0.87*((110-A34)/50),1))</f>
        <v>0.13</v>
      </c>
      <c r="D34" s="1" t="n">
        <f aca="false">IF(A34&lt;60,0.55,
IF(A34&lt;=110,0.55*((110-A34)/50)+0.29*((A34-60)/50),0.29))</f>
        <v>0.55</v>
      </c>
      <c r="E34" s="1" t="n">
        <f aca="false">C34+(1-C34)*(1-D34)^(($E$1-1992)/20)</f>
        <v>0.414457095906267</v>
      </c>
      <c r="F34" s="1" t="n">
        <f aca="false">B34*E34</f>
        <v>0.000692143350163465</v>
      </c>
      <c r="G34" s="1" t="n">
        <f aca="false">ROUND(F34,6)</f>
        <v>0.000692</v>
      </c>
    </row>
    <row r="35" customFormat="false" ht="12.75" hidden="false" customHeight="false" outlineLevel="0" collapsed="false">
      <c r="A35" s="2" t="n">
        <v>53</v>
      </c>
      <c r="B35" s="3" t="n">
        <v>0.001917</v>
      </c>
      <c r="C35" s="1" t="n">
        <f aca="false">IF(A35&lt;60,0.13,
IF(A35&lt;=110,1-0.87*((110-A35)/50),1))</f>
        <v>0.13</v>
      </c>
      <c r="D35" s="1" t="n">
        <f aca="false">IF(A35&lt;60,0.55,
IF(A35&lt;=110,0.55*((110-A35)/50)+0.29*((A35-60)/50),0.29))</f>
        <v>0.55</v>
      </c>
      <c r="E35" s="1" t="n">
        <f aca="false">C35+(1-C35)*(1-D35)^(($E$1-1992)/20)</f>
        <v>0.414457095906267</v>
      </c>
      <c r="F35" s="1" t="n">
        <f aca="false">B35*E35</f>
        <v>0.000794514252852313</v>
      </c>
      <c r="G35" s="1" t="n">
        <f aca="false">ROUND(F35,6)</f>
        <v>0.000795</v>
      </c>
    </row>
    <row r="36" customFormat="false" ht="12.75" hidden="false" customHeight="false" outlineLevel="0" collapsed="false">
      <c r="A36" s="2" t="n">
        <v>54</v>
      </c>
      <c r="B36" s="3" t="n">
        <v>0.0022</v>
      </c>
      <c r="C36" s="1" t="n">
        <f aca="false">IF(A36&lt;60,0.13,
IF(A36&lt;=110,1-0.87*((110-A36)/50),1))</f>
        <v>0.13</v>
      </c>
      <c r="D36" s="1" t="n">
        <f aca="false">IF(A36&lt;60,0.55,
IF(A36&lt;=110,0.55*((110-A36)/50)+0.29*((A36-60)/50),0.29))</f>
        <v>0.55</v>
      </c>
      <c r="E36" s="1" t="n">
        <f aca="false">C36+(1-C36)*(1-D36)^(($E$1-1992)/20)</f>
        <v>0.414457095906267</v>
      </c>
      <c r="F36" s="1" t="n">
        <f aca="false">B36*E36</f>
        <v>0.000911805610993786</v>
      </c>
      <c r="G36" s="1" t="n">
        <f aca="false">ROUND(F36,6)</f>
        <v>0.000912</v>
      </c>
    </row>
    <row r="37" customFormat="false" ht="12.75" hidden="false" customHeight="false" outlineLevel="0" collapsed="false">
      <c r="A37" s="2" t="n">
        <v>55</v>
      </c>
      <c r="B37" s="3" t="n">
        <v>0.002524</v>
      </c>
      <c r="C37" s="1" t="n">
        <f aca="false">IF(A37&lt;60,0.13,
IF(A37&lt;=110,1-0.87*((110-A37)/50),1))</f>
        <v>0.13</v>
      </c>
      <c r="D37" s="1" t="n">
        <f aca="false">IF(A37&lt;60,0.55,
IF(A37&lt;=110,0.55*((110-A37)/50)+0.29*((A37-60)/50),0.29))</f>
        <v>0.55</v>
      </c>
      <c r="E37" s="1" t="n">
        <f aca="false">C37+(1-C37)*(1-D37)^(($E$1-1992)/20)</f>
        <v>0.414457095906267</v>
      </c>
      <c r="F37" s="1" t="n">
        <f aca="false">B37*E37</f>
        <v>0.00104608971006742</v>
      </c>
      <c r="G37" s="1" t="n">
        <f aca="false">ROUND(F37,6)</f>
        <v>0.001046</v>
      </c>
    </row>
    <row r="38" customFormat="false" ht="12.75" hidden="false" customHeight="false" outlineLevel="0" collapsed="false">
      <c r="A38" s="2" t="n">
        <v>56</v>
      </c>
      <c r="B38" s="3" t="n">
        <v>0.002894</v>
      </c>
      <c r="C38" s="1" t="n">
        <f aca="false">IF(A38&lt;60,0.13,
IF(A38&lt;=110,1-0.87*((110-A38)/50),1))</f>
        <v>0.13</v>
      </c>
      <c r="D38" s="1" t="n">
        <f aca="false">IF(A38&lt;60,0.55,
IF(A38&lt;=110,0.55*((110-A38)/50)+0.29*((A38-60)/50),0.29))</f>
        <v>0.55</v>
      </c>
      <c r="E38" s="1" t="n">
        <f aca="false">C38+(1-C38)*(1-D38)^(($E$1-1992)/20)</f>
        <v>0.414457095906267</v>
      </c>
      <c r="F38" s="1" t="n">
        <f aca="false">B38*E38</f>
        <v>0.00119943883555274</v>
      </c>
      <c r="G38" s="1" t="n">
        <f aca="false">ROUND(F38,6)</f>
        <v>0.001199</v>
      </c>
    </row>
    <row r="39" customFormat="false" ht="12.75" hidden="false" customHeight="false" outlineLevel="0" collapsed="false">
      <c r="A39" s="2" t="n">
        <v>57</v>
      </c>
      <c r="B39" s="3" t="n">
        <v>0.003317</v>
      </c>
      <c r="C39" s="1" t="n">
        <f aca="false">IF(A39&lt;60,0.13,
IF(A39&lt;=110,1-0.87*((110-A39)/50),1))</f>
        <v>0.13</v>
      </c>
      <c r="D39" s="1" t="n">
        <f aca="false">IF(A39&lt;60,0.55,
IF(A39&lt;=110,0.55*((110-A39)/50)+0.29*((A39-60)/50),0.29))</f>
        <v>0.55</v>
      </c>
      <c r="E39" s="1" t="n">
        <f aca="false">C39+(1-C39)*(1-D39)^(($E$1-1992)/20)</f>
        <v>0.414457095906267</v>
      </c>
      <c r="F39" s="1" t="n">
        <f aca="false">B39*E39</f>
        <v>0.00137475418712109</v>
      </c>
      <c r="G39" s="1" t="n">
        <f aca="false">ROUND(F39,6)</f>
        <v>0.001375</v>
      </c>
    </row>
    <row r="40" customFormat="false" ht="12.75" hidden="false" customHeight="false" outlineLevel="0" collapsed="false">
      <c r="A40" s="2" t="n">
        <v>58</v>
      </c>
      <c r="B40" s="3" t="n">
        <v>0.003799</v>
      </c>
      <c r="C40" s="1" t="n">
        <f aca="false">IF(A40&lt;60,0.13,
IF(A40&lt;=110,1-0.87*((110-A40)/50),1))</f>
        <v>0.13</v>
      </c>
      <c r="D40" s="1" t="n">
        <f aca="false">IF(A40&lt;60,0.55,
IF(A40&lt;=110,0.55*((110-A40)/50)+0.29*((A40-60)/50),0.29))</f>
        <v>0.55</v>
      </c>
      <c r="E40" s="1" t="n">
        <f aca="false">C40+(1-C40)*(1-D40)^(($E$1-1992)/20)</f>
        <v>0.414457095906267</v>
      </c>
      <c r="F40" s="1" t="n">
        <f aca="false">B40*E40</f>
        <v>0.00157452250734791</v>
      </c>
      <c r="G40" s="1" t="n">
        <f aca="false">ROUND(F40,6)</f>
        <v>0.001575</v>
      </c>
    </row>
    <row r="41" customFormat="false" ht="12.75" hidden="false" customHeight="false" outlineLevel="0" collapsed="false">
      <c r="A41" s="2" t="n">
        <v>59</v>
      </c>
      <c r="B41" s="3" t="n">
        <v>0.004345</v>
      </c>
      <c r="C41" s="1" t="n">
        <f aca="false">IF(A41&lt;60,0.13,
IF(A41&lt;=110,1-0.87*((110-A41)/50),1))</f>
        <v>0.13</v>
      </c>
      <c r="D41" s="1" t="n">
        <f aca="false">IF(A41&lt;60,0.55,
IF(A41&lt;=110,0.55*((110-A41)/50)+0.29*((A41-60)/50),0.29))</f>
        <v>0.55</v>
      </c>
      <c r="E41" s="1" t="n">
        <f aca="false">C41+(1-C41)*(1-D41)^(($E$1-1992)/20)</f>
        <v>0.414457095906267</v>
      </c>
      <c r="F41" s="1" t="n">
        <f aca="false">B41*E41</f>
        <v>0.00180081608171273</v>
      </c>
      <c r="G41" s="1" t="n">
        <f aca="false">ROUND(F41,6)</f>
        <v>0.001801</v>
      </c>
    </row>
    <row r="42" customFormat="false" ht="12.75" hidden="false" customHeight="false" outlineLevel="0" collapsed="false">
      <c r="A42" s="2" t="n">
        <v>60</v>
      </c>
      <c r="B42" s="3" t="n">
        <v>0.004965</v>
      </c>
      <c r="C42" s="1" t="n">
        <f aca="false">IF(A42&lt;60,0.13,
IF(A42&lt;=110,1-0.87*((110-A42)/50),1))</f>
        <v>0.13</v>
      </c>
      <c r="D42" s="1" t="n">
        <f aca="false">IF(A42&lt;60,0.55,
IF(A42&lt;=110,0.55*((110-A42)/50)+0.29*((A42-60)/50),0.29))</f>
        <v>0.55</v>
      </c>
      <c r="E42" s="1" t="n">
        <f aca="false">C42+(1-C42)*(1-D42)^(($E$1-1992)/20)</f>
        <v>0.414457095906267</v>
      </c>
      <c r="F42" s="1" t="n">
        <f aca="false">B42*E42</f>
        <v>0.00205777948117461</v>
      </c>
      <c r="G42" s="1" t="n">
        <f aca="false">ROUND(F42,6)</f>
        <v>0.002058</v>
      </c>
    </row>
    <row r="43" customFormat="false" ht="12.75" hidden="false" customHeight="false" outlineLevel="0" collapsed="false">
      <c r="A43" s="2" t="n">
        <v>61</v>
      </c>
      <c r="B43" s="3" t="n">
        <v>0.005667</v>
      </c>
      <c r="C43" s="1" t="n">
        <f aca="false">IF(A43&lt;60,0.13,
IF(A43&lt;=110,1-0.87*((110-A43)/50),1))</f>
        <v>0.1474</v>
      </c>
      <c r="D43" s="1" t="n">
        <f aca="false">IF(A43&lt;60,0.55,
IF(A43&lt;=110,0.55*((110-A43)/50)+0.29*((A43-60)/50),0.29))</f>
        <v>0.5448</v>
      </c>
      <c r="E43" s="1" t="n">
        <f aca="false">C43+(1-C43)*(1-D43)^(($E$1-1992)/20)</f>
        <v>0.430688198777084</v>
      </c>
      <c r="F43" s="1" t="n">
        <f aca="false">B43*E43</f>
        <v>0.00244071002246973</v>
      </c>
      <c r="G43" s="1" t="n">
        <f aca="false">ROUND(F43,6)</f>
        <v>0.002441</v>
      </c>
    </row>
    <row r="44" customFormat="false" ht="12.75" hidden="false" customHeight="false" outlineLevel="0" collapsed="false">
      <c r="A44" s="2" t="n">
        <v>62</v>
      </c>
      <c r="B44" s="3" t="n">
        <v>0.006458</v>
      </c>
      <c r="C44" s="1" t="n">
        <f aca="false">IF(A44&lt;60,0.13,
IF(A44&lt;=110,1-0.87*((110-A44)/50),1))</f>
        <v>0.1648</v>
      </c>
      <c r="D44" s="1" t="n">
        <f aca="false">IF(A44&lt;60,0.55,
IF(A44&lt;=110,0.55*((110-A44)/50)+0.29*((A44-60)/50),0.29))</f>
        <v>0.5396</v>
      </c>
      <c r="E44" s="1" t="n">
        <f aca="false">C44+(1-C44)*(1-D44)^(($E$1-1992)/20)</f>
        <v>0.44675508188074</v>
      </c>
      <c r="F44" s="1" t="n">
        <f aca="false">B44*E44</f>
        <v>0.00288514431878582</v>
      </c>
      <c r="G44" s="1" t="n">
        <f aca="false">ROUND(F44,6)</f>
        <v>0.002885</v>
      </c>
    </row>
    <row r="45" customFormat="false" ht="12.75" hidden="false" customHeight="false" outlineLevel="0" collapsed="false">
      <c r="A45" s="2" t="n">
        <v>63</v>
      </c>
      <c r="B45" s="3" t="n">
        <v>0.00735</v>
      </c>
      <c r="C45" s="1" t="n">
        <f aca="false">IF(A45&lt;60,0.13,
IF(A45&lt;=110,1-0.87*((110-A45)/50),1))</f>
        <v>0.1822</v>
      </c>
      <c r="D45" s="1" t="n">
        <f aca="false">IF(A45&lt;60,0.55,
IF(A45&lt;=110,0.55*((110-A45)/50)+0.29*((A45-60)/50),0.29))</f>
        <v>0.5344</v>
      </c>
      <c r="E45" s="1" t="n">
        <f aca="false">C45+(1-C45)*(1-D45)^(($E$1-1992)/20)</f>
        <v>0.46265634283699</v>
      </c>
      <c r="F45" s="1" t="n">
        <f aca="false">B45*E45</f>
        <v>0.00340052411985187</v>
      </c>
      <c r="G45" s="1" t="n">
        <f aca="false">ROUND(F45,6)</f>
        <v>0.003401</v>
      </c>
    </row>
    <row r="46" customFormat="false" ht="12.75" hidden="false" customHeight="false" outlineLevel="0" collapsed="false">
      <c r="A46" s="2" t="n">
        <v>64</v>
      </c>
      <c r="B46" s="3" t="n">
        <v>0.008352</v>
      </c>
      <c r="C46" s="1" t="n">
        <f aca="false">IF(A46&lt;60,0.13,
IF(A46&lt;=110,1-0.87*((110-A46)/50),1))</f>
        <v>0.1996</v>
      </c>
      <c r="D46" s="1" t="n">
        <f aca="false">IF(A46&lt;60,0.55,
IF(A46&lt;=110,0.55*((110-A46)/50)+0.29*((A46-60)/50),0.29))</f>
        <v>0.5292</v>
      </c>
      <c r="E46" s="1" t="n">
        <f aca="false">C46+(1-C46)*(1-D46)^(($E$1-1992)/20)</f>
        <v>0.478390593109015</v>
      </c>
      <c r="F46" s="1" t="n">
        <f aca="false">B46*E46</f>
        <v>0.00399551823364649</v>
      </c>
      <c r="G46" s="1" t="n">
        <f aca="false">ROUND(F46,6)</f>
        <v>0.003996</v>
      </c>
    </row>
    <row r="47" customFormat="false" ht="12.75" hidden="false" customHeight="false" outlineLevel="0" collapsed="false">
      <c r="A47" s="2" t="n">
        <v>65</v>
      </c>
      <c r="B47" s="3" t="n">
        <v>0.009476</v>
      </c>
      <c r="C47" s="1" t="n">
        <f aca="false">IF(A47&lt;60,0.13,
IF(A47&lt;=110,1-0.87*((110-A47)/50),1))</f>
        <v>0.217</v>
      </c>
      <c r="D47" s="1" t="n">
        <f aca="false">IF(A47&lt;60,0.55,
IF(A47&lt;=110,0.55*((110-A47)/50)+0.29*((A47-60)/50),0.29))</f>
        <v>0.524</v>
      </c>
      <c r="E47" s="1" t="n">
        <f aca="false">C47+(1-C47)*(1-D47)^(($E$1-1992)/20)</f>
        <v>0.493956457679853</v>
      </c>
      <c r="F47" s="1" t="n">
        <f aca="false">B47*E47</f>
        <v>0.00468073139297429</v>
      </c>
      <c r="G47" s="1" t="n">
        <f aca="false">ROUND(F47,6)</f>
        <v>0.004681</v>
      </c>
    </row>
    <row r="48" customFormat="false" ht="12.75" hidden="false" customHeight="false" outlineLevel="0" collapsed="false">
      <c r="A48" s="2" t="n">
        <v>66</v>
      </c>
      <c r="B48" s="3" t="n">
        <v>0.010734</v>
      </c>
      <c r="C48" s="1" t="n">
        <f aca="false">IF(A48&lt;60,0.13,
IF(A48&lt;=110,1-0.87*((110-A48)/50),1))</f>
        <v>0.2344</v>
      </c>
      <c r="D48" s="1" t="n">
        <f aca="false">IF(A48&lt;60,0.55,
IF(A48&lt;=110,0.55*((110-A48)/50)+0.29*((A48-60)/50),0.29))</f>
        <v>0.5188</v>
      </c>
      <c r="E48" s="1" t="n">
        <f aca="false">C48+(1-C48)*(1-D48)^(($E$1-1992)/20)</f>
        <v>0.50935257474027</v>
      </c>
      <c r="F48" s="1" t="n">
        <f aca="false">B48*E48</f>
        <v>0.00546739053726206</v>
      </c>
      <c r="G48" s="1" t="n">
        <f aca="false">ROUND(F48,6)</f>
        <v>0.005467</v>
      </c>
    </row>
    <row r="49" customFormat="false" ht="12.75" hidden="false" customHeight="false" outlineLevel="0" collapsed="false">
      <c r="A49" s="2" t="n">
        <v>67</v>
      </c>
      <c r="B49" s="3" t="n">
        <v>0.012138</v>
      </c>
      <c r="C49" s="1" t="n">
        <f aca="false">IF(A49&lt;60,0.13,
IF(A49&lt;=110,1-0.87*((110-A49)/50),1))</f>
        <v>0.2518</v>
      </c>
      <c r="D49" s="1" t="n">
        <f aca="false">IF(A49&lt;60,0.55,
IF(A49&lt;=110,0.55*((110-A49)/50)+0.29*((A49-60)/50),0.29))</f>
        <v>0.5136</v>
      </c>
      <c r="E49" s="1" t="n">
        <f aca="false">C49+(1-C49)*(1-D49)^(($E$1-1992)/20)</f>
        <v>0.52457759538754</v>
      </c>
      <c r="F49" s="1" t="n">
        <f aca="false">B49*E49</f>
        <v>0.00636732285281396</v>
      </c>
      <c r="G49" s="1" t="n">
        <f aca="false">ROUND(F49,6)</f>
        <v>0.006367</v>
      </c>
    </row>
    <row r="50" customFormat="false" ht="12.75" hidden="false" customHeight="false" outlineLevel="0" collapsed="false">
      <c r="A50" s="2" t="n">
        <v>68</v>
      </c>
      <c r="B50" s="3" t="n">
        <v>0.013703</v>
      </c>
      <c r="C50" s="1" t="n">
        <f aca="false">IF(A50&lt;60,0.13,
IF(A50&lt;=110,1-0.87*((110-A50)/50),1))</f>
        <v>0.2692</v>
      </c>
      <c r="D50" s="1" t="n">
        <f aca="false">IF(A50&lt;60,0.55,
IF(A50&lt;=110,0.55*((110-A50)/50)+0.29*((A50-60)/50),0.29))</f>
        <v>0.5084</v>
      </c>
      <c r="E50" s="1" t="n">
        <f aca="false">C50+(1-C50)*(1-D50)^(($E$1-1992)/20)</f>
        <v>0.539630183334634</v>
      </c>
      <c r="F50" s="1" t="n">
        <f aca="false">B50*E50</f>
        <v>0.00739455240223449</v>
      </c>
      <c r="G50" s="1" t="n">
        <f aca="false">ROUND(F50,6)</f>
        <v>0.007395</v>
      </c>
    </row>
    <row r="51" customFormat="false" ht="12.75" hidden="false" customHeight="false" outlineLevel="0" collapsed="false">
      <c r="A51" s="2" t="n">
        <v>69</v>
      </c>
      <c r="B51" s="3" t="n">
        <v>0.015442</v>
      </c>
      <c r="C51" s="1" t="n">
        <f aca="false">IF(A51&lt;60,0.13,
IF(A51&lt;=110,1-0.87*((110-A51)/50),1))</f>
        <v>0.2866</v>
      </c>
      <c r="D51" s="1" t="n">
        <f aca="false">IF(A51&lt;60,0.55,
IF(A51&lt;=110,0.55*((110-A51)/50)+0.29*((A51-60)/50),0.29))</f>
        <v>0.5032</v>
      </c>
      <c r="E51" s="1" t="n">
        <f aca="false">C51+(1-C51)*(1-D51)^(($E$1-1992)/20)</f>
        <v>0.554509014629343</v>
      </c>
      <c r="F51" s="1" t="n">
        <f aca="false">B51*E51</f>
        <v>0.00856272820390631</v>
      </c>
      <c r="G51" s="1" t="n">
        <f aca="false">ROUND(F51,6)</f>
        <v>0.008563</v>
      </c>
    </row>
    <row r="52" customFormat="false" ht="12.75" hidden="false" customHeight="false" outlineLevel="0" collapsed="false">
      <c r="A52" s="2" t="n">
        <v>70</v>
      </c>
      <c r="B52" s="3" t="n">
        <v>0.017371</v>
      </c>
      <c r="C52" s="1" t="n">
        <f aca="false">IF(A52&lt;60,0.13,
IF(A52&lt;=110,1-0.87*((110-A52)/50),1))</f>
        <v>0.304</v>
      </c>
      <c r="D52" s="1" t="n">
        <f aca="false">IF(A52&lt;60,0.55,
IF(A52&lt;=110,0.55*((110-A52)/50)+0.29*((A52-60)/50),0.29))</f>
        <v>0.498</v>
      </c>
      <c r="E52" s="1" t="n">
        <f aca="false">C52+(1-C52)*(1-D52)^(($E$1-1992)/20)</f>
        <v>0.569212777382879</v>
      </c>
      <c r="F52" s="1" t="n">
        <f aca="false">B52*E52</f>
        <v>0.00988779515591799</v>
      </c>
      <c r="G52" s="1" t="n">
        <f aca="false">ROUND(F52,6)</f>
        <v>0.009888</v>
      </c>
    </row>
    <row r="53" customFormat="false" ht="12.75" hidden="false" customHeight="false" outlineLevel="0" collapsed="false">
      <c r="A53" s="2" t="n">
        <v>71</v>
      </c>
      <c r="B53" s="3" t="n">
        <v>0.019505</v>
      </c>
      <c r="C53" s="1" t="n">
        <f aca="false">IF(A53&lt;60,0.13,
IF(A53&lt;=110,1-0.87*((110-A53)/50),1))</f>
        <v>0.3214</v>
      </c>
      <c r="D53" s="1" t="n">
        <f aca="false">IF(A53&lt;60,0.55,
IF(A53&lt;=110,0.55*((110-A53)/50)+0.29*((A53-60)/50),0.29))</f>
        <v>0.4928</v>
      </c>
      <c r="E53" s="1" t="n">
        <f aca="false">C53+(1-C53)*(1-D53)^(($E$1-1992)/20)</f>
        <v>0.583740171507549</v>
      </c>
      <c r="F53" s="1" t="n">
        <f aca="false">B53*E53</f>
        <v>0.0113858520452547</v>
      </c>
      <c r="G53" s="1" t="n">
        <f aca="false">ROUND(F53,6)</f>
        <v>0.011386</v>
      </c>
    </row>
    <row r="54" customFormat="false" ht="12.75" hidden="false" customHeight="false" outlineLevel="0" collapsed="false">
      <c r="A54" s="2" t="n">
        <v>72</v>
      </c>
      <c r="B54" s="3" t="n">
        <v>0.021861</v>
      </c>
      <c r="C54" s="1" t="n">
        <f aca="false">IF(A54&lt;60,0.13,
IF(A54&lt;=110,1-0.87*((110-A54)/50),1))</f>
        <v>0.3388</v>
      </c>
      <c r="D54" s="1" t="n">
        <f aca="false">IF(A54&lt;60,0.55,
IF(A54&lt;=110,0.55*((110-A54)/50)+0.29*((A54-60)/50),0.29))</f>
        <v>0.4876</v>
      </c>
      <c r="E54" s="1" t="n">
        <f aca="false">C54+(1-C54)*(1-D54)^(($E$1-1992)/20)</f>
        <v>0.598089908463083</v>
      </c>
      <c r="F54" s="1" t="n">
        <f aca="false">B54*E54</f>
        <v>0.0130748434889115</v>
      </c>
      <c r="G54" s="1" t="n">
        <f aca="false">ROUND(F54,6)</f>
        <v>0.013075</v>
      </c>
    </row>
    <row r="55" customFormat="false" ht="12.75" hidden="false" customHeight="false" outlineLevel="0" collapsed="false">
      <c r="A55" s="2" t="n">
        <v>73</v>
      </c>
      <c r="B55" s="3" t="n">
        <v>0.024455</v>
      </c>
      <c r="C55" s="1" t="n">
        <f aca="false">IF(A55&lt;60,0.13,
IF(A55&lt;=110,1-0.87*((110-A55)/50),1))</f>
        <v>0.3562</v>
      </c>
      <c r="D55" s="1" t="n">
        <f aca="false">IF(A55&lt;60,0.55,
IF(A55&lt;=110,0.55*((110-A55)/50)+0.29*((A55-60)/50),0.29))</f>
        <v>0.4824</v>
      </c>
      <c r="E55" s="1" t="n">
        <f aca="false">C55+(1-C55)*(1-D55)^(($E$1-1992)/20)</f>
        <v>0.612260711011252</v>
      </c>
      <c r="F55" s="1" t="n">
        <f aca="false">B55*E55</f>
        <v>0.0149728356877802</v>
      </c>
      <c r="G55" s="1" t="n">
        <f aca="false">ROUND(F55,6)</f>
        <v>0.014973</v>
      </c>
    </row>
    <row r="56" customFormat="false" ht="12.75" hidden="false" customHeight="false" outlineLevel="0" collapsed="false">
      <c r="A56" s="2" t="n">
        <v>74</v>
      </c>
      <c r="B56" s="3" t="n">
        <v>0.027306</v>
      </c>
      <c r="C56" s="1" t="n">
        <f aca="false">IF(A56&lt;60,0.13,
IF(A56&lt;=110,1-0.87*((110-A56)/50),1))</f>
        <v>0.3736</v>
      </c>
      <c r="D56" s="1" t="n">
        <f aca="false">IF(A56&lt;60,0.55,
IF(A56&lt;=110,0.55*((110-A56)/50)+0.29*((A56-60)/50),0.29))</f>
        <v>0.4772</v>
      </c>
      <c r="E56" s="1" t="n">
        <f aca="false">C56+(1-C56)*(1-D56)^(($E$1-1992)/20)</f>
        <v>0.626251312978413</v>
      </c>
      <c r="F56" s="1" t="n">
        <f aca="false">B56*E56</f>
        <v>0.0171004183521885</v>
      </c>
      <c r="G56" s="1" t="n">
        <f aca="false">ROUND(F56,6)</f>
        <v>0.0171</v>
      </c>
    </row>
    <row r="57" customFormat="false" ht="12.75" hidden="false" customHeight="false" outlineLevel="0" collapsed="false">
      <c r="A57" s="2" t="n">
        <v>75</v>
      </c>
      <c r="B57" s="3" t="n">
        <v>0.030432</v>
      </c>
      <c r="C57" s="1" t="n">
        <f aca="false">IF(A57&lt;60,0.13,
IF(A57&lt;=110,1-0.87*((110-A57)/50),1))</f>
        <v>0.391</v>
      </c>
      <c r="D57" s="1" t="n">
        <f aca="false">IF(A57&lt;60,0.55,
IF(A57&lt;=110,0.55*((110-A57)/50)+0.29*((A57-60)/50),0.29))</f>
        <v>0.472</v>
      </c>
      <c r="E57" s="1" t="n">
        <f aca="false">C57+(1-C57)*(1-D57)^(($E$1-1992)/20)</f>
        <v>0.640060459025641</v>
      </c>
      <c r="F57" s="1" t="n">
        <f aca="false">B57*E57</f>
        <v>0.0194783198890683</v>
      </c>
      <c r="G57" s="1" t="n">
        <f aca="false">ROUND(F57,6)</f>
        <v>0.019478</v>
      </c>
    </row>
    <row r="58" customFormat="false" ht="12.75" hidden="false" customHeight="false" outlineLevel="0" collapsed="false">
      <c r="A58" s="2" t="n">
        <v>76</v>
      </c>
      <c r="B58" s="3" t="n">
        <v>0.033849</v>
      </c>
      <c r="C58" s="1" t="n">
        <f aca="false">IF(A58&lt;60,0.13,
IF(A58&lt;=110,1-0.87*((110-A58)/50),1))</f>
        <v>0.4084</v>
      </c>
      <c r="D58" s="1" t="n">
        <f aca="false">IF(A58&lt;60,0.55,
IF(A58&lt;=110,0.55*((110-A58)/50)+0.29*((A58-60)/50),0.29))</f>
        <v>0.4668</v>
      </c>
      <c r="E58" s="1" t="n">
        <f aca="false">C58+(1-C58)*(1-D58)^(($E$1-1992)/20)</f>
        <v>0.653686904426137</v>
      </c>
      <c r="F58" s="1" t="n">
        <f aca="false">B58*E58</f>
        <v>0.0221266480279203</v>
      </c>
      <c r="G58" s="1" t="n">
        <f aca="false">ROUND(F58,6)</f>
        <v>0.022127</v>
      </c>
    </row>
    <row r="59" customFormat="false" ht="12.75" hidden="false" customHeight="false" outlineLevel="0" collapsed="false">
      <c r="A59" s="2" t="n">
        <v>77</v>
      </c>
      <c r="B59" s="3" t="n">
        <v>0.037577</v>
      </c>
      <c r="C59" s="1" t="n">
        <f aca="false">IF(A59&lt;60,0.13,
IF(A59&lt;=110,1-0.87*((110-A59)/50),1))</f>
        <v>0.4258</v>
      </c>
      <c r="D59" s="1" t="n">
        <f aca="false">IF(A59&lt;60,0.55,
IF(A59&lt;=110,0.55*((110-A59)/50)+0.29*((A59-60)/50),0.29))</f>
        <v>0.4616</v>
      </c>
      <c r="E59" s="1" t="n">
        <f aca="false">C59+(1-C59)*(1-D59)^(($E$1-1992)/20)</f>
        <v>0.66712941484959</v>
      </c>
      <c r="F59" s="1" t="n">
        <f aca="false">B59*E59</f>
        <v>0.025068722021803</v>
      </c>
      <c r="G59" s="1" t="n">
        <f aca="false">ROUND(F59,6)</f>
        <v>0.025069</v>
      </c>
    </row>
    <row r="60" customFormat="false" ht="12.75" hidden="false" customHeight="false" outlineLevel="0" collapsed="false">
      <c r="A60" s="2" t="n">
        <v>78</v>
      </c>
      <c r="B60" s="3" t="n">
        <v>0.041632</v>
      </c>
      <c r="C60" s="1" t="n">
        <f aca="false">IF(A60&lt;60,0.13,
IF(A60&lt;=110,1-0.87*((110-A60)/50),1))</f>
        <v>0.4432</v>
      </c>
      <c r="D60" s="1" t="n">
        <f aca="false">IF(A60&lt;60,0.55,
IF(A60&lt;=110,0.55*((110-A60)/50)+0.29*((A60-60)/50),0.29))</f>
        <v>0.4564</v>
      </c>
      <c r="E60" s="1" t="n">
        <f aca="false">C60+(1-C60)*(1-D60)^(($E$1-1992)/20)</f>
        <v>0.680386766153222</v>
      </c>
      <c r="F60" s="1" t="n">
        <f aca="false">B60*E60</f>
        <v>0.0283258618484909</v>
      </c>
      <c r="G60" s="1" t="n">
        <f aca="false">ROUND(F60,6)</f>
        <v>0.028326</v>
      </c>
    </row>
    <row r="61" customFormat="false" ht="12.75" hidden="false" customHeight="false" outlineLevel="0" collapsed="false">
      <c r="A61" s="2" t="n">
        <v>79</v>
      </c>
      <c r="B61" s="3" t="n">
        <v>0.046035</v>
      </c>
      <c r="C61" s="1" t="n">
        <f aca="false">IF(A61&lt;60,0.13,
IF(A61&lt;=110,1-0.87*((110-A61)/50),1))</f>
        <v>0.4606</v>
      </c>
      <c r="D61" s="1" t="n">
        <f aca="false">IF(A61&lt;60,0.55,
IF(A61&lt;=110,0.55*((110-A61)/50)+0.29*((A61-60)/50),0.29))</f>
        <v>0.4512</v>
      </c>
      <c r="E61" s="1" t="n">
        <f aca="false">C61+(1-C61)*(1-D61)^(($E$1-1992)/20)</f>
        <v>0.693457744179237</v>
      </c>
      <c r="F61" s="1" t="n">
        <f aca="false">B61*E61</f>
        <v>0.0319233272532912</v>
      </c>
      <c r="G61" s="1" t="n">
        <f aca="false">ROUND(F61,6)</f>
        <v>0.031923</v>
      </c>
    </row>
    <row r="62" customFormat="false" ht="12.75" hidden="false" customHeight="false" outlineLevel="0" collapsed="false">
      <c r="A62" s="2" t="n">
        <v>80</v>
      </c>
      <c r="B62" s="3" t="n">
        <v>0.0508</v>
      </c>
      <c r="C62" s="1" t="n">
        <f aca="false">IF(A62&lt;60,0.13,
IF(A62&lt;=110,1-0.87*((110-A62)/50),1))</f>
        <v>0.478</v>
      </c>
      <c r="D62" s="1" t="n">
        <f aca="false">IF(A62&lt;60,0.55,
IF(A62&lt;=110,0.55*((110-A62)/50)+0.29*((A62-60)/50),0.29))</f>
        <v>0.446</v>
      </c>
      <c r="E62" s="1" t="n">
        <f aca="false">C62+(1-C62)*(1-D62)^(($E$1-1992)/20)</f>
        <v>0.706341144558412</v>
      </c>
      <c r="F62" s="1" t="n">
        <f aca="false">B62*E62</f>
        <v>0.0358821301435673</v>
      </c>
      <c r="G62" s="1" t="n">
        <f aca="false">ROUND(F62,6)</f>
        <v>0.035882</v>
      </c>
    </row>
    <row r="63" customFormat="false" ht="12.75" hidden="false" customHeight="false" outlineLevel="0" collapsed="false">
      <c r="A63" s="2" t="n">
        <v>81</v>
      </c>
      <c r="B63" s="3" t="n">
        <v>0.055946</v>
      </c>
      <c r="C63" s="1" t="n">
        <f aca="false">IF(A63&lt;60,0.13,
IF(A63&lt;=110,1-0.87*((110-A63)/50),1))</f>
        <v>0.4954</v>
      </c>
      <c r="D63" s="1" t="n">
        <f aca="false">IF(A63&lt;60,0.55,
IF(A63&lt;=110,0.55*((110-A63)/50)+0.29*((A63-60)/50),0.29))</f>
        <v>0.4408</v>
      </c>
      <c r="E63" s="1" t="n">
        <f aca="false">C63+(1-C63)*(1-D63)^(($E$1-1992)/20)</f>
        <v>0.719035772519578</v>
      </c>
      <c r="F63" s="1" t="n">
        <f aca="false">B63*E63</f>
        <v>0.0402271753293803</v>
      </c>
      <c r="G63" s="1" t="n">
        <f aca="false">ROUND(F63,6)</f>
        <v>0.040227</v>
      </c>
    </row>
    <row r="64" customFormat="false" ht="12.75" hidden="false" customHeight="false" outlineLevel="0" collapsed="false">
      <c r="A64" s="2" t="n">
        <v>82</v>
      </c>
      <c r="B64" s="3" t="n">
        <v>0.061488</v>
      </c>
      <c r="C64" s="1" t="n">
        <f aca="false">IF(A64&lt;60,0.13,
IF(A64&lt;=110,1-0.87*((110-A64)/50),1))</f>
        <v>0.5128</v>
      </c>
      <c r="D64" s="1" t="n">
        <f aca="false">IF(A64&lt;60,0.55,
IF(A64&lt;=110,0.55*((110-A64)/50)+0.29*((A64-60)/50),0.29))</f>
        <v>0.4356</v>
      </c>
      <c r="E64" s="1" t="n">
        <f aca="false">C64+(1-C64)*(1-D64)^(($E$1-1992)/20)</f>
        <v>0.731540442704777</v>
      </c>
      <c r="F64" s="1" t="n">
        <f aca="false">B64*E64</f>
        <v>0.0449809587410313</v>
      </c>
      <c r="G64" s="1" t="n">
        <f aca="false">ROUND(F64,6)</f>
        <v>0.044981</v>
      </c>
    </row>
    <row r="65" customFormat="false" ht="12.75" hidden="false" customHeight="false" outlineLevel="0" collapsed="false">
      <c r="A65" s="2" t="n">
        <v>83</v>
      </c>
      <c r="B65" s="3" t="n">
        <v>0.067441</v>
      </c>
      <c r="C65" s="1" t="n">
        <f aca="false">IF(A65&lt;60,0.13,
IF(A65&lt;=110,1-0.87*((110-A65)/50),1))</f>
        <v>0.5302</v>
      </c>
      <c r="D65" s="1" t="n">
        <f aca="false">IF(A65&lt;60,0.55,
IF(A65&lt;=110,0.55*((110-A65)/50)+0.29*((A65-60)/50),0.29))</f>
        <v>0.4304</v>
      </c>
      <c r="E65" s="1" t="n">
        <f aca="false">C65+(1-C65)*(1-D65)^(($E$1-1992)/20)</f>
        <v>0.743853978989843</v>
      </c>
      <c r="F65" s="1" t="n">
        <f aca="false">B65*E65</f>
        <v>0.050166256197054</v>
      </c>
      <c r="G65" s="1" t="n">
        <f aca="false">ROUND(F65,6)</f>
        <v>0.050166</v>
      </c>
    </row>
    <row r="66" customFormat="false" ht="12.75" hidden="false" customHeight="false" outlineLevel="0" collapsed="false">
      <c r="A66" s="2" t="n">
        <v>84</v>
      </c>
      <c r="B66" s="3" t="n">
        <v>0.073817</v>
      </c>
      <c r="C66" s="1" t="n">
        <f aca="false">IF(A66&lt;60,0.13,
IF(A66&lt;=110,1-0.87*((110-A66)/50),1))</f>
        <v>0.5476</v>
      </c>
      <c r="D66" s="1" t="n">
        <f aca="false">IF(A66&lt;60,0.55,
IF(A66&lt;=110,0.55*((110-A66)/50)+0.29*((A66-60)/50),0.29))</f>
        <v>0.4252</v>
      </c>
      <c r="E66" s="1" t="n">
        <f aca="false">C66+(1-C66)*(1-D66)^(($E$1-1992)/20)</f>
        <v>0.755975214310221</v>
      </c>
      <c r="F66" s="1" t="n">
        <f aca="false">B66*E66</f>
        <v>0.0558038223947375</v>
      </c>
      <c r="G66" s="1" t="n">
        <f aca="false">ROUND(F66,6)</f>
        <v>0.055804</v>
      </c>
    </row>
    <row r="67" customFormat="false" ht="12.75" hidden="false" customHeight="false" outlineLevel="0" collapsed="false">
      <c r="A67" s="2" t="n">
        <v>85</v>
      </c>
      <c r="B67" s="3" t="n">
        <v>0.080629</v>
      </c>
      <c r="C67" s="1" t="n">
        <f aca="false">IF(A67&lt;60,0.13,
IF(A67&lt;=110,1-0.87*((110-A67)/50),1))</f>
        <v>0.565</v>
      </c>
      <c r="D67" s="1" t="n">
        <f aca="false">IF(A67&lt;60,0.55,
IF(A67&lt;=110,0.55*((110-A67)/50)+0.29*((A67-60)/50),0.29))</f>
        <v>0.42</v>
      </c>
      <c r="E67" s="1" t="n">
        <f aca="false">C67+(1-C67)*(1-D67)^(($E$1-1992)/20)</f>
        <v>0.767902990491804</v>
      </c>
      <c r="F67" s="1" t="n">
        <f aca="false">B67*E67</f>
        <v>0.0619152502203637</v>
      </c>
      <c r="G67" s="1" t="n">
        <f aca="false">ROUND(F67,6)</f>
        <v>0.061915</v>
      </c>
    </row>
    <row r="68" customFormat="false" ht="12.75" hidden="false" customHeight="false" outlineLevel="0" collapsed="false">
      <c r="A68" s="2" t="n">
        <v>86</v>
      </c>
      <c r="B68" s="3" t="n">
        <v>0.087885</v>
      </c>
      <c r="C68" s="1" t="n">
        <f aca="false">IF(A68&lt;60,0.13,
IF(A68&lt;=110,1-0.87*((110-A68)/50),1))</f>
        <v>0.5824</v>
      </c>
      <c r="D68" s="1" t="n">
        <f aca="false">IF(A68&lt;60,0.55,
IF(A68&lt;=110,0.55*((110-A68)/50)+0.29*((A68-60)/50),0.29))</f>
        <v>0.4148</v>
      </c>
      <c r="E68" s="1" t="n">
        <f aca="false">C68+(1-C68)*(1-D68)^(($E$1-1992)/20)</f>
        <v>0.779636158086612</v>
      </c>
      <c r="F68" s="1" t="n">
        <f aca="false">B68*E68</f>
        <v>0.0685183237534419</v>
      </c>
      <c r="G68" s="1" t="n">
        <f aca="false">ROUND(F68,6)</f>
        <v>0.068518</v>
      </c>
    </row>
    <row r="69" customFormat="false" ht="12.75" hidden="false" customHeight="false" outlineLevel="0" collapsed="false">
      <c r="A69" s="2" t="n">
        <v>87</v>
      </c>
      <c r="B69" s="3" t="n">
        <v>0.095594</v>
      </c>
      <c r="C69" s="1" t="n">
        <f aca="false">IF(A69&lt;60,0.13,
IF(A69&lt;=110,1-0.87*((110-A69)/50),1))</f>
        <v>0.5998</v>
      </c>
      <c r="D69" s="1" t="n">
        <f aca="false">IF(A69&lt;60,0.55,
IF(A69&lt;=110,0.55*((110-A69)/50)+0.29*((A69-60)/50),0.29))</f>
        <v>0.4096</v>
      </c>
      <c r="E69" s="1" t="n">
        <f aca="false">C69+(1-C69)*(1-D69)^(($E$1-1992)/20)</f>
        <v>0.791173576213105</v>
      </c>
      <c r="F69" s="1" t="n">
        <f aca="false">B69*E69</f>
        <v>0.0756314468445155</v>
      </c>
      <c r="G69" s="1" t="n">
        <f aca="false">ROUND(F69,6)</f>
        <v>0.075631</v>
      </c>
    </row>
    <row r="70" customFormat="false" ht="12.75" hidden="false" customHeight="false" outlineLevel="0" collapsed="false">
      <c r="A70" s="2" t="n">
        <v>88</v>
      </c>
      <c r="B70" s="3" t="n">
        <v>0.103761</v>
      </c>
      <c r="C70" s="1" t="n">
        <f aca="false">IF(A70&lt;60,0.13,
IF(A70&lt;=110,1-0.87*((110-A70)/50),1))</f>
        <v>0.6172</v>
      </c>
      <c r="D70" s="1" t="n">
        <f aca="false">IF(A70&lt;60,0.55,
IF(A70&lt;=110,0.55*((110-A70)/50)+0.29*((A70-60)/50),0.29))</f>
        <v>0.4044</v>
      </c>
      <c r="E70" s="1" t="n">
        <f aca="false">C70+(1-C70)*(1-D70)^(($E$1-1992)/20)</f>
        <v>0.802514112400989</v>
      </c>
      <c r="F70" s="1" t="n">
        <f aca="false">B70*E70</f>
        <v>0.083269666816839</v>
      </c>
      <c r="G70" s="1" t="n">
        <f aca="false">ROUND(F70,6)</f>
        <v>0.08327</v>
      </c>
    </row>
    <row r="71" customFormat="false" ht="12.75" hidden="false" customHeight="false" outlineLevel="0" collapsed="false">
      <c r="A71" s="2" t="n">
        <v>89</v>
      </c>
      <c r="B71" s="3" t="n">
        <v>0.112386</v>
      </c>
      <c r="C71" s="1" t="n">
        <f aca="false">IF(A71&lt;60,0.13,
IF(A71&lt;=110,1-0.87*((110-A71)/50),1))</f>
        <v>0.6346</v>
      </c>
      <c r="D71" s="1" t="n">
        <f aca="false">IF(A71&lt;60,0.55,
IF(A71&lt;=110,0.55*((110-A71)/50)+0.29*((A71-60)/50),0.29))</f>
        <v>0.3992</v>
      </c>
      <c r="E71" s="1" t="n">
        <f aca="false">C71+(1-C71)*(1-D71)^(($E$1-1992)/20)</f>
        <v>0.813656642440318</v>
      </c>
      <c r="F71" s="1" t="n">
        <f aca="false">B71*E71</f>
        <v>0.0914436154172976</v>
      </c>
      <c r="G71" s="1" t="n">
        <f aca="false">ROUND(F71,6)</f>
        <v>0.091444</v>
      </c>
    </row>
    <row r="72" customFormat="false" ht="12.75" hidden="false" customHeight="false" outlineLevel="0" collapsed="false">
      <c r="A72" s="2" t="n">
        <v>90</v>
      </c>
      <c r="B72" s="3" t="n">
        <v>0.12147</v>
      </c>
      <c r="C72" s="1" t="n">
        <f aca="false">IF(A72&lt;60,0.13,
IF(A72&lt;=110,1-0.87*((110-A72)/50),1))</f>
        <v>0.652</v>
      </c>
      <c r="D72" s="1" t="n">
        <f aca="false">IF(A72&lt;60,0.55,
IF(A72&lt;=110,0.55*((110-A72)/50)+0.29*((A72-60)/50),0.29))</f>
        <v>0.394</v>
      </c>
      <c r="E72" s="1" t="n">
        <f aca="false">C72+(1-C72)*(1-D72)^(($E$1-1992)/20)</f>
        <v>0.824600050234753</v>
      </c>
      <c r="F72" s="1" t="n">
        <f aca="false">B72*E72</f>
        <v>0.100164168102015</v>
      </c>
      <c r="G72" s="1" t="n">
        <f aca="false">ROUND(F72,6)</f>
        <v>0.100164</v>
      </c>
    </row>
    <row r="73" customFormat="false" ht="12.75" hidden="false" customHeight="false" outlineLevel="0" collapsed="false">
      <c r="A73" s="2" t="n">
        <v>91</v>
      </c>
      <c r="B73" s="3" t="n">
        <v>0.131009</v>
      </c>
      <c r="C73" s="1" t="n">
        <f aca="false">IF(A73&lt;60,0.13,
IF(A73&lt;=110,1-0.87*((110-A73)/50),1))</f>
        <v>0.6694</v>
      </c>
      <c r="D73" s="1" t="n">
        <f aca="false">IF(A73&lt;60,0.55,
IF(A73&lt;=110,0.55*((110-A73)/50)+0.29*((A73-60)/50),0.29))</f>
        <v>0.3888</v>
      </c>
      <c r="E73" s="1" t="n">
        <f aca="false">C73+(1-C73)*(1-D73)^(($E$1-1992)/20)</f>
        <v>0.835343227658814</v>
      </c>
      <c r="F73" s="1" t="n">
        <f aca="false">B73*E73</f>
        <v>0.109437480912354</v>
      </c>
      <c r="G73" s="1" t="n">
        <f aca="false">ROUND(F73,6)</f>
        <v>0.109437</v>
      </c>
    </row>
    <row r="74" customFormat="false" ht="12.75" hidden="false" customHeight="false" outlineLevel="0" collapsed="false">
      <c r="A74" s="2" t="n">
        <v>92</v>
      </c>
      <c r="B74" s="3" t="n">
        <v>0.140996</v>
      </c>
      <c r="C74" s="1" t="n">
        <f aca="false">IF(A74&lt;60,0.13,
IF(A74&lt;=110,1-0.87*((110-A74)/50),1))</f>
        <v>0.6868</v>
      </c>
      <c r="D74" s="1" t="n">
        <f aca="false">IF(A74&lt;60,0.55,
IF(A74&lt;=110,0.55*((110-A74)/50)+0.29*((A74-60)/50),0.29))</f>
        <v>0.3836</v>
      </c>
      <c r="E74" s="1" t="n">
        <f aca="false">C74+(1-C74)*(1-D74)^(($E$1-1992)/20)</f>
        <v>0.845885074418989</v>
      </c>
      <c r="F74" s="1" t="n">
        <f aca="false">B74*E74</f>
        <v>0.11926641195278</v>
      </c>
      <c r="G74" s="1" t="n">
        <f aca="false">ROUND(F74,6)</f>
        <v>0.119266</v>
      </c>
    </row>
    <row r="75" customFormat="false" ht="12.75" hidden="false" customHeight="false" outlineLevel="0" collapsed="false">
      <c r="A75" s="2" t="n">
        <v>93</v>
      </c>
      <c r="B75" s="3" t="n">
        <v>0.15142</v>
      </c>
      <c r="C75" s="1" t="n">
        <f aca="false">IF(A75&lt;60,0.13,
IF(A75&lt;=110,1-0.87*((110-A75)/50),1))</f>
        <v>0.7042</v>
      </c>
      <c r="D75" s="1" t="n">
        <f aca="false">IF(A75&lt;60,0.55,
IF(A75&lt;=110,0.55*((110-A75)/50)+0.29*((A75-60)/50),0.29))</f>
        <v>0.3784</v>
      </c>
      <c r="E75" s="1" t="n">
        <f aca="false">C75+(1-C75)*(1-D75)^(($E$1-1992)/20)</f>
        <v>0.856224497918556</v>
      </c>
      <c r="F75" s="1" t="n">
        <f aca="false">B75*E75</f>
        <v>0.129649513474828</v>
      </c>
      <c r="G75" s="1" t="n">
        <f aca="false">ROUND(F75,6)</f>
        <v>0.12965</v>
      </c>
    </row>
    <row r="76" customFormat="false" ht="12.75" hidden="false" customHeight="false" outlineLevel="0" collapsed="false">
      <c r="A76" s="2" t="n">
        <v>94</v>
      </c>
      <c r="B76" s="3" t="n">
        <v>0.162267</v>
      </c>
      <c r="C76" s="1" t="n">
        <f aca="false">IF(A76&lt;60,0.13,
IF(A76&lt;=110,1-0.87*((110-A76)/50),1))</f>
        <v>0.7216</v>
      </c>
      <c r="D76" s="1" t="n">
        <f aca="false">IF(A76&lt;60,0.55,
IF(A76&lt;=110,0.55*((110-A76)/50)+0.29*((A76-60)/50),0.29))</f>
        <v>0.3732</v>
      </c>
      <c r="E76" s="1" t="n">
        <f aca="false">C76+(1-C76)*(1-D76)^(($E$1-1992)/20)</f>
        <v>0.866360413125992</v>
      </c>
      <c r="F76" s="1" t="n">
        <f aca="false">B76*E76</f>
        <v>0.140581705156715</v>
      </c>
      <c r="G76" s="1" t="n">
        <f aca="false">ROUND(F76,6)</f>
        <v>0.140582</v>
      </c>
    </row>
    <row r="77" customFormat="false" ht="12.75" hidden="false" customHeight="false" outlineLevel="0" collapsed="false">
      <c r="A77" s="2" t="n">
        <v>95</v>
      </c>
      <c r="B77" s="3" t="n">
        <v>0.173519</v>
      </c>
      <c r="C77" s="1" t="n">
        <f aca="false">IF(A77&lt;60,0.13,
IF(A77&lt;=110,1-0.87*((110-A77)/50),1))</f>
        <v>0.739</v>
      </c>
      <c r="D77" s="1" t="n">
        <f aca="false">IF(A77&lt;60,0.55,
IF(A77&lt;=110,0.55*((110-A77)/50)+0.29*((A77-60)/50),0.29))</f>
        <v>0.368</v>
      </c>
      <c r="E77" s="1" t="n">
        <f aca="false">C77+(1-C77)*(1-D77)^(($E$1-1992)/20)</f>
        <v>0.876291742446833</v>
      </c>
      <c r="F77" s="1" t="n">
        <f aca="false">B77*E77</f>
        <v>0.152053266857632</v>
      </c>
      <c r="G77" s="1" t="n">
        <f aca="false">ROUND(F77,6)</f>
        <v>0.152053</v>
      </c>
    </row>
    <row r="78" customFormat="false" ht="12.75" hidden="false" customHeight="false" outlineLevel="0" collapsed="false">
      <c r="A78" s="2" t="n">
        <v>96</v>
      </c>
      <c r="B78" s="3" t="n">
        <v>0.185155</v>
      </c>
      <c r="C78" s="1" t="n">
        <f aca="false">IF(A78&lt;60,0.13,
IF(A78&lt;=110,1-0.87*((110-A78)/50),1))</f>
        <v>0.7564</v>
      </c>
      <c r="D78" s="1" t="n">
        <f aca="false">IF(A78&lt;60,0.55,
IF(A78&lt;=110,0.55*((110-A78)/50)+0.29*((A78-60)/50),0.29))</f>
        <v>0.3628</v>
      </c>
      <c r="E78" s="1" t="n">
        <f aca="false">C78+(1-C78)*(1-D78)^(($E$1-1992)/20)</f>
        <v>0.886017415598876</v>
      </c>
      <c r="F78" s="1" t="n">
        <f aca="false">B78*E78</f>
        <v>0.16405055458521</v>
      </c>
      <c r="G78" s="1" t="n">
        <f aca="false">ROUND(F78,6)</f>
        <v>0.164051</v>
      </c>
    </row>
    <row r="79" customFormat="false" ht="12.75" hidden="false" customHeight="false" outlineLevel="0" collapsed="false">
      <c r="A79" s="2" t="n">
        <v>97</v>
      </c>
      <c r="B79" s="3" t="n">
        <v>0.19715</v>
      </c>
      <c r="C79" s="1" t="n">
        <f aca="false">IF(A79&lt;60,0.13,
IF(A79&lt;=110,1-0.87*((110-A79)/50),1))</f>
        <v>0.7738</v>
      </c>
      <c r="D79" s="1" t="n">
        <f aca="false">IF(A79&lt;60,0.55,
IF(A79&lt;=110,0.55*((110-A79)/50)+0.29*((A79-60)/50),0.29))</f>
        <v>0.3576</v>
      </c>
      <c r="E79" s="1" t="n">
        <f aca="false">C79+(1-C79)*(1-D79)^(($E$1-1992)/20)</f>
        <v>0.895536369490599</v>
      </c>
      <c r="F79" s="1" t="n">
        <f aca="false">B79*E79</f>
        <v>0.176554995245072</v>
      </c>
      <c r="G79" s="1" t="n">
        <f aca="false">ROUND(F79,6)</f>
        <v>0.176555</v>
      </c>
    </row>
    <row r="80" customFormat="false" ht="12.75" hidden="false" customHeight="false" outlineLevel="0" collapsed="false">
      <c r="A80" s="2" t="n">
        <v>98</v>
      </c>
      <c r="B80" s="3" t="n">
        <v>0.209477</v>
      </c>
      <c r="C80" s="1" t="n">
        <f aca="false">IF(A80&lt;60,0.13,
IF(A80&lt;=110,1-0.87*((110-A80)/50),1))</f>
        <v>0.7912</v>
      </c>
      <c r="D80" s="1" t="n">
        <f aca="false">IF(A80&lt;60,0.55,
IF(A80&lt;=110,0.55*((110-A80)/50)+0.29*((A80-60)/50),0.29))</f>
        <v>0.3524</v>
      </c>
      <c r="E80" s="1" t="n">
        <f aca="false">C80+(1-C80)*(1-D80)^(($E$1-1992)/20)</f>
        <v>0.904847548102687</v>
      </c>
      <c r="F80" s="1" t="n">
        <f aca="false">B80*E80</f>
        <v>0.189544749833907</v>
      </c>
      <c r="G80" s="1" t="n">
        <f aca="false">ROUND(F80,6)</f>
        <v>0.189545</v>
      </c>
    </row>
    <row r="81" customFormat="false" ht="12.75" hidden="false" customHeight="false" outlineLevel="0" collapsed="false">
      <c r="A81" s="2" t="n">
        <v>99</v>
      </c>
      <c r="B81" s="3" t="n">
        <v>0.222103</v>
      </c>
      <c r="C81" s="1" t="n">
        <f aca="false">IF(A81&lt;60,0.13,
IF(A81&lt;=110,1-0.87*((110-A81)/50),1))</f>
        <v>0.8086</v>
      </c>
      <c r="D81" s="1" t="n">
        <f aca="false">IF(A81&lt;60,0.55,
IF(A81&lt;=110,0.55*((110-A81)/50)+0.29*((A81-60)/50),0.29))</f>
        <v>0.3472</v>
      </c>
      <c r="E81" s="1" t="n">
        <f aca="false">C81+(1-C81)*(1-D81)^(($E$1-1992)/20)</f>
        <v>0.913949902372571</v>
      </c>
      <c r="F81" s="1" t="n">
        <f aca="false">B81*E81</f>
        <v>0.202991015166655</v>
      </c>
      <c r="G81" s="1" t="n">
        <f aca="false">ROUND(F81,6)</f>
        <v>0.202991</v>
      </c>
    </row>
    <row r="82" customFormat="false" ht="12.75" hidden="false" customHeight="false" outlineLevel="0" collapsed="false">
      <c r="A82" s="2" t="n">
        <v>100</v>
      </c>
      <c r="B82" s="3" t="n">
        <v>0.234995</v>
      </c>
      <c r="C82" s="1" t="n">
        <f aca="false">IF(A82&lt;60,0.13,
IF(A82&lt;=110,1-0.87*((110-A82)/50),1))</f>
        <v>0.826</v>
      </c>
      <c r="D82" s="1" t="n">
        <f aca="false">IF(A82&lt;60,0.55,
IF(A82&lt;=110,0.55*((110-A82)/50)+0.29*((A82-60)/50),0.29))</f>
        <v>0.342</v>
      </c>
      <c r="E82" s="1" t="n">
        <f aca="false">C82+(1-C82)*(1-D82)^(($E$1-1992)/20)</f>
        <v>0.922842390081863</v>
      </c>
      <c r="F82" s="1" t="n">
        <f aca="false">B82*E82</f>
        <v>0.216863347457287</v>
      </c>
      <c r="G82" s="1" t="n">
        <f aca="false">ROUND(F82,6)</f>
        <v>0.216863</v>
      </c>
    </row>
    <row r="83" customFormat="false" ht="12.75" hidden="false" customHeight="false" outlineLevel="0" collapsed="false">
      <c r="A83" s="2" t="n">
        <v>101</v>
      </c>
      <c r="B83" s="3" t="n">
        <v>0.248115</v>
      </c>
      <c r="C83" s="1" t="n">
        <f aca="false">IF(A83&lt;60,0.13,
IF(A83&lt;=110,1-0.87*((110-A83)/50),1))</f>
        <v>0.8434</v>
      </c>
      <c r="D83" s="1" t="n">
        <f aca="false">IF(A83&lt;60,0.55,
IF(A83&lt;=110,0.55*((110-A83)/50)+0.29*((A83-60)/50),0.29))</f>
        <v>0.3368</v>
      </c>
      <c r="E83" s="1" t="n">
        <f aca="false">C83+(1-C83)*(1-D83)^(($E$1-1992)/20)</f>
        <v>0.931523975746596</v>
      </c>
      <c r="F83" s="1" t="n">
        <f aca="false">B83*E83</f>
        <v>0.231125071242367</v>
      </c>
      <c r="G83" s="1" t="n">
        <f aca="false">ROUND(F83,6)</f>
        <v>0.231125</v>
      </c>
    </row>
    <row r="84" customFormat="false" ht="12.75" hidden="false" customHeight="false" outlineLevel="0" collapsed="false">
      <c r="A84" s="2" t="n">
        <v>102</v>
      </c>
      <c r="B84" s="3" t="n">
        <v>0.261424</v>
      </c>
      <c r="C84" s="1" t="n">
        <f aca="false">IF(A84&lt;60,0.13,
IF(A84&lt;=110,1-0.87*((110-A84)/50),1))</f>
        <v>0.8608</v>
      </c>
      <c r="D84" s="1" t="n">
        <f aca="false">IF(A84&lt;60,0.55,
IF(A84&lt;=110,0.55*((110-A84)/50)+0.29*((A84-60)/50),0.29))</f>
        <v>0.3316</v>
      </c>
      <c r="E84" s="1" t="n">
        <f aca="false">C84+(1-C84)*(1-D84)^(($E$1-1992)/20)</f>
        <v>0.939993630510183</v>
      </c>
      <c r="F84" s="1" t="n">
        <f aca="false">B84*E84</f>
        <v>0.245736894862494</v>
      </c>
      <c r="G84" s="1" t="n">
        <f aca="false">ROUND(F84,6)</f>
        <v>0.245737</v>
      </c>
    </row>
    <row r="85" customFormat="false" ht="12.75" hidden="false" customHeight="false" outlineLevel="0" collapsed="false">
      <c r="A85" s="2" t="n">
        <v>103</v>
      </c>
      <c r="B85" s="3" t="n">
        <v>0.274879</v>
      </c>
      <c r="C85" s="1" t="n">
        <f aca="false">IF(A85&lt;60,0.13,
IF(A85&lt;=110,1-0.87*((110-A85)/50),1))</f>
        <v>0.8782</v>
      </c>
      <c r="D85" s="1" t="n">
        <f aca="false">IF(A85&lt;60,0.55,
IF(A85&lt;=110,0.55*((110-A85)/50)+0.29*((A85-60)/50),0.29))</f>
        <v>0.3264</v>
      </c>
      <c r="E85" s="1" t="n">
        <f aca="false">C85+(1-C85)*(1-D85)^(($E$1-1992)/20)</f>
        <v>0.948250332038989</v>
      </c>
      <c r="F85" s="1" t="n">
        <f aca="false">B85*E85</f>
        <v>0.260654103020545</v>
      </c>
      <c r="G85" s="1" t="n">
        <f aca="false">ROUND(F85,6)</f>
        <v>0.260654</v>
      </c>
    </row>
    <row r="86" customFormat="false" ht="12.75" hidden="false" customHeight="false" outlineLevel="0" collapsed="false">
      <c r="A86" s="2" t="n">
        <v>104</v>
      </c>
      <c r="B86" s="3" t="n">
        <v>0.288437</v>
      </c>
      <c r="C86" s="1" t="n">
        <f aca="false">IF(A86&lt;60,0.13,
IF(A86&lt;=110,1-0.87*((110-A86)/50),1))</f>
        <v>0.8956</v>
      </c>
      <c r="D86" s="1" t="n">
        <f aca="false">IF(A86&lt;60,0.55,
IF(A86&lt;=110,0.55*((110-A86)/50)+0.29*((A86-60)/50),0.29))</f>
        <v>0.3212</v>
      </c>
      <c r="E86" s="1" t="n">
        <f aca="false">C86+(1-C86)*(1-D86)^(($E$1-1992)/20)</f>
        <v>0.95629306442045</v>
      </c>
      <c r="F86" s="1" t="n">
        <f aca="false">B86*E86</f>
        <v>0.275830302622241</v>
      </c>
      <c r="G86" s="1" t="n">
        <f aca="false">ROUND(F86,6)</f>
        <v>0.27583</v>
      </c>
    </row>
    <row r="87" customFormat="false" ht="12.75" hidden="false" customHeight="false" outlineLevel="0" collapsed="false">
      <c r="A87" s="2" t="n">
        <v>105</v>
      </c>
      <c r="B87" s="3" t="n">
        <v>0.302054</v>
      </c>
      <c r="C87" s="1" t="n">
        <f aca="false">IF(A87&lt;60,0.13,
IF(A87&lt;=110,1-0.87*((110-A87)/50),1))</f>
        <v>0.913</v>
      </c>
      <c r="D87" s="1" t="n">
        <f aca="false">IF(A87&lt;60,0.55,
IF(A87&lt;=110,0.55*((110-A87)/50)+0.29*((A87-60)/50),0.29))</f>
        <v>0.316</v>
      </c>
      <c r="E87" s="1" t="n">
        <f aca="false">C87+(1-C87)*(1-D87)^(($E$1-1992)/20)</f>
        <v>0.964120818063644</v>
      </c>
      <c r="F87" s="1" t="n">
        <f aca="false">B87*E87</f>
        <v>0.291216549579396</v>
      </c>
      <c r="G87" s="1" t="n">
        <f aca="false">ROUND(F87,6)</f>
        <v>0.291217</v>
      </c>
    </row>
    <row r="88" customFormat="false" ht="12.75" hidden="false" customHeight="false" outlineLevel="0" collapsed="false">
      <c r="A88" s="2" t="n">
        <v>106</v>
      </c>
      <c r="B88" s="3" t="n">
        <v>0.315684</v>
      </c>
      <c r="C88" s="1" t="n">
        <f aca="false">IF(A88&lt;60,0.13,
IF(A88&lt;=110,1-0.87*((110-A88)/50),1))</f>
        <v>0.9304</v>
      </c>
      <c r="D88" s="1" t="n">
        <f aca="false">IF(A88&lt;60,0.55,
IF(A88&lt;=110,0.55*((110-A88)/50)+0.29*((A88-60)/50),0.29))</f>
        <v>0.3108</v>
      </c>
      <c r="E88" s="1" t="n">
        <f aca="false">C88+(1-C88)*(1-D88)^(($E$1-1992)/20)</f>
        <v>0.971732589602233</v>
      </c>
      <c r="F88" s="1" t="n">
        <f aca="false">B88*E88</f>
        <v>0.306760430815991</v>
      </c>
      <c r="G88" s="1" t="n">
        <f aca="false">ROUND(F88,6)</f>
        <v>0.30676</v>
      </c>
    </row>
    <row r="89" customFormat="false" ht="12.75" hidden="false" customHeight="false" outlineLevel="0" collapsed="false">
      <c r="A89" s="2" t="n">
        <v>107</v>
      </c>
      <c r="B89" s="3" t="n">
        <v>0.32928</v>
      </c>
      <c r="C89" s="1" t="n">
        <f aca="false">IF(A89&lt;60,0.13,
IF(A89&lt;=110,1-0.87*((110-A89)/50),1))</f>
        <v>0.9478</v>
      </c>
      <c r="D89" s="1" t="n">
        <f aca="false">IF(A89&lt;60,0.55,
IF(A89&lt;=110,0.55*((110-A89)/50)+0.29*((A89-60)/50),0.29))</f>
        <v>0.3056</v>
      </c>
      <c r="E89" s="1" t="n">
        <f aca="false">C89+(1-C89)*(1-D89)^(($E$1-1992)/20)</f>
        <v>0.979127381799714</v>
      </c>
      <c r="F89" s="1" t="n">
        <f aca="false">B89*E89</f>
        <v>0.32240706427901</v>
      </c>
      <c r="G89" s="1" t="n">
        <f aca="false">ROUND(F89,6)</f>
        <v>0.322407</v>
      </c>
    </row>
    <row r="90" customFormat="false" ht="12.75" hidden="false" customHeight="false" outlineLevel="0" collapsed="false">
      <c r="A90" s="2" t="n">
        <v>108</v>
      </c>
      <c r="B90" s="3" t="n">
        <v>0.342795</v>
      </c>
      <c r="C90" s="1" t="n">
        <f aca="false">IF(A90&lt;60,0.13,
IF(A90&lt;=110,1-0.87*((110-A90)/50),1))</f>
        <v>0.9652</v>
      </c>
      <c r="D90" s="1" t="n">
        <f aca="false">IF(A90&lt;60,0.55,
IF(A90&lt;=110,0.55*((110-A90)/50)+0.29*((A90-60)/50),0.29))</f>
        <v>0.3004</v>
      </c>
      <c r="E90" s="1" t="n">
        <f aca="false">C90+(1-C90)*(1-D90)^(($E$1-1992)/20)</f>
        <v>0.986304203456893</v>
      </c>
      <c r="F90" s="1" t="n">
        <f aca="false">B90*E90</f>
        <v>0.338100149424006</v>
      </c>
      <c r="G90" s="1" t="n">
        <f aca="false">ROUND(F90,6)</f>
        <v>0.3381</v>
      </c>
    </row>
    <row r="91" customFormat="false" ht="12.75" hidden="false" customHeight="false" outlineLevel="0" collapsed="false">
      <c r="A91" s="2" t="n">
        <v>109</v>
      </c>
      <c r="B91" s="3" t="n">
        <v>0.356185</v>
      </c>
      <c r="C91" s="1" t="n">
        <f aca="false">IF(A91&lt;60,0.13,
IF(A91&lt;=110,1-0.87*((110-A91)/50),1))</f>
        <v>0.9826</v>
      </c>
      <c r="D91" s="1" t="n">
        <f aca="false">IF(A91&lt;60,0.55,
IF(A91&lt;=110,0.55*((110-A91)/50)+0.29*((A91-60)/50),0.29))</f>
        <v>0.2952</v>
      </c>
      <c r="E91" s="1" t="n">
        <f aca="false">C91+(1-C91)*(1-D91)^(($E$1-1992)/20)</f>
        <v>0.993262069321518</v>
      </c>
      <c r="F91" s="1" t="n">
        <f aca="false">B91*E91</f>
        <v>0.353785050161285</v>
      </c>
      <c r="G91" s="1" t="n">
        <f aca="false">ROUND(F91,6)</f>
        <v>0.353785</v>
      </c>
    </row>
    <row r="92" customFormat="false" ht="12.75" hidden="false" customHeight="false" outlineLevel="0" collapsed="false">
      <c r="A92" s="2" t="n">
        <v>110</v>
      </c>
      <c r="B92" s="3" t="n">
        <v>0.369403</v>
      </c>
      <c r="C92" s="1" t="n">
        <f aca="false">IF(A92&lt;60,0.13,
IF(A92&lt;=110,1-0.87*((110-A92)/50),1))</f>
        <v>1</v>
      </c>
      <c r="D92" s="1" t="n">
        <f aca="false">IF(A92&lt;60,0.55,
IF(A92&lt;=110,0.55*((110-A92)/50)+0.29*((A92-60)/50),0.29))</f>
        <v>0.29</v>
      </c>
      <c r="E92" s="1" t="n">
        <f aca="false">C92+(1-C92)*(1-D92)^(($E$1-1992)/20)</f>
        <v>1</v>
      </c>
      <c r="F92" s="1" t="n">
        <f aca="false">B92*E92</f>
        <v>0.369403</v>
      </c>
      <c r="G92" s="1" t="n">
        <f aca="false">ROUND(F92,6)</f>
        <v>0.369403</v>
      </c>
    </row>
    <row r="93" customFormat="false" ht="12.75" hidden="false" customHeight="false" outlineLevel="0" collapsed="false">
      <c r="A93" s="2" t="n">
        <v>111</v>
      </c>
      <c r="B93" s="3" t="n">
        <v>0.382406</v>
      </c>
      <c r="C93" s="1" t="n">
        <f aca="false">IF(A93&lt;60,0.13,
IF(A93&lt;=110,1-0.87*((110-A93)/50),1))</f>
        <v>1</v>
      </c>
      <c r="D93" s="1" t="n">
        <f aca="false">IF(A93&lt;60,0.55,
IF(A93&lt;=110,0.55*((110-A93)/50)+0.29*((A93-60)/50),0.29))</f>
        <v>0.29</v>
      </c>
      <c r="E93" s="1" t="n">
        <f aca="false">C93+(1-C93)*(1-D93)^(($E$1-1992)/20)</f>
        <v>1</v>
      </c>
      <c r="F93" s="1" t="n">
        <f aca="false">B93*E93</f>
        <v>0.382406</v>
      </c>
      <c r="G93" s="1" t="n">
        <f aca="false">ROUND(F93,6)</f>
        <v>0.382406</v>
      </c>
    </row>
    <row r="94" customFormat="false" ht="12.75" hidden="false" customHeight="false" outlineLevel="0" collapsed="false">
      <c r="A94" s="2" t="n">
        <v>112</v>
      </c>
      <c r="B94" s="3" t="n">
        <v>0.39515</v>
      </c>
      <c r="C94" s="1" t="n">
        <f aca="false">IF(A94&lt;60,0.13,
IF(A94&lt;=110,1-0.87*((110-A94)/50),1))</f>
        <v>1</v>
      </c>
      <c r="D94" s="1" t="n">
        <f aca="false">IF(A94&lt;60,0.55,
IF(A94&lt;=110,0.55*((110-A94)/50)+0.29*((A94-60)/50),0.29))</f>
        <v>0.29</v>
      </c>
      <c r="E94" s="1" t="n">
        <f aca="false">C94+(1-C94)*(1-D94)^(($E$1-1992)/20)</f>
        <v>1</v>
      </c>
      <c r="F94" s="1" t="n">
        <f aca="false">B94*E94</f>
        <v>0.39515</v>
      </c>
      <c r="G94" s="1" t="n">
        <f aca="false">ROUND(F94,6)</f>
        <v>0.39515</v>
      </c>
    </row>
    <row r="95" customFormat="false" ht="12.75" hidden="false" customHeight="false" outlineLevel="0" collapsed="false">
      <c r="A95" s="2" t="n">
        <v>113</v>
      </c>
      <c r="B95" s="3" t="n">
        <v>0.407594</v>
      </c>
      <c r="C95" s="1" t="n">
        <f aca="false">IF(A95&lt;60,0.13,
IF(A95&lt;=110,1-0.87*((110-A95)/50),1))</f>
        <v>1</v>
      </c>
      <c r="D95" s="1" t="n">
        <f aca="false">IF(A95&lt;60,0.55,
IF(A95&lt;=110,0.55*((110-A95)/50)+0.29*((A95-60)/50),0.29))</f>
        <v>0.29</v>
      </c>
      <c r="E95" s="1" t="n">
        <f aca="false">C95+(1-C95)*(1-D95)^(($E$1-1992)/20)</f>
        <v>1</v>
      </c>
      <c r="F95" s="1" t="n">
        <f aca="false">B95*E95</f>
        <v>0.407594</v>
      </c>
      <c r="G95" s="1" t="n">
        <f aca="false">ROUND(F95,6)</f>
        <v>0.407594</v>
      </c>
    </row>
    <row r="96" customFormat="false" ht="12.75" hidden="false" customHeight="false" outlineLevel="0" collapsed="false">
      <c r="A96" s="2" t="n">
        <v>114</v>
      </c>
      <c r="B96" s="3" t="n">
        <v>0.4197</v>
      </c>
      <c r="C96" s="1" t="n">
        <f aca="false">IF(A96&lt;60,0.13,
IF(A96&lt;=110,1-0.87*((110-A96)/50),1))</f>
        <v>1</v>
      </c>
      <c r="D96" s="1" t="n">
        <f aca="false">IF(A96&lt;60,0.55,
IF(A96&lt;=110,0.55*((110-A96)/50)+0.29*((A96-60)/50),0.29))</f>
        <v>0.29</v>
      </c>
      <c r="E96" s="1" t="n">
        <f aca="false">C96+(1-C96)*(1-D96)^(($E$1-1992)/20)</f>
        <v>1</v>
      </c>
      <c r="F96" s="1" t="n">
        <f aca="false">B96*E96</f>
        <v>0.4197</v>
      </c>
      <c r="G96" s="1" t="n">
        <f aca="false">ROUND(F96,6)</f>
        <v>0.4197</v>
      </c>
    </row>
    <row r="97" customFormat="false" ht="12.75" hidden="false" customHeight="false" outlineLevel="0" collapsed="false">
      <c r="A97" s="2" t="n">
        <v>115</v>
      </c>
      <c r="B97" s="3" t="n">
        <v>0.431431</v>
      </c>
      <c r="C97" s="1" t="n">
        <f aca="false">IF(A97&lt;60,0.13,
IF(A97&lt;=110,1-0.87*((110-A97)/50),1))</f>
        <v>1</v>
      </c>
      <c r="D97" s="1" t="n">
        <f aca="false">IF(A97&lt;60,0.55,
IF(A97&lt;=110,0.55*((110-A97)/50)+0.29*((A97-60)/50),0.29))</f>
        <v>0.29</v>
      </c>
      <c r="E97" s="1" t="n">
        <f aca="false">C97+(1-C97)*(1-D97)^(($E$1-1992)/20)</f>
        <v>1</v>
      </c>
      <c r="F97" s="1" t="n">
        <f aca="false">B97*E97</f>
        <v>0.431431</v>
      </c>
      <c r="G97" s="1" t="n">
        <f aca="false">ROUND(F97,6)</f>
        <v>0.431431</v>
      </c>
    </row>
    <row r="98" customFormat="false" ht="12.75" hidden="false" customHeight="false" outlineLevel="0" collapsed="false">
      <c r="A98" s="2" t="n">
        <v>116</v>
      </c>
      <c r="B98" s="3" t="n">
        <v>0.442752</v>
      </c>
      <c r="C98" s="1" t="n">
        <f aca="false">IF(A98&lt;60,0.13,
IF(A98&lt;=110,1-0.87*((110-A98)/50),1))</f>
        <v>1</v>
      </c>
      <c r="D98" s="1" t="n">
        <f aca="false">IF(A98&lt;60,0.55,
IF(A98&lt;=110,0.55*((110-A98)/50)+0.29*((A98-60)/50),0.29))</f>
        <v>0.29</v>
      </c>
      <c r="E98" s="1" t="n">
        <f aca="false">C98+(1-C98)*(1-D98)^(($E$1-1992)/20)</f>
        <v>1</v>
      </c>
      <c r="F98" s="1" t="n">
        <f aca="false">B98*E98</f>
        <v>0.442752</v>
      </c>
      <c r="G98" s="1" t="n">
        <f aca="false">ROUND(F98,6)</f>
        <v>0.442752</v>
      </c>
    </row>
    <row r="99" customFormat="false" ht="12.75" hidden="false" customHeight="false" outlineLevel="0" collapsed="false">
      <c r="A99" s="2" t="n">
        <v>117</v>
      </c>
      <c r="B99" s="3" t="n">
        <v>0.45363</v>
      </c>
      <c r="C99" s="1" t="n">
        <f aca="false">IF(A99&lt;60,0.13,
IF(A99&lt;=110,1-0.87*((110-A99)/50),1))</f>
        <v>1</v>
      </c>
      <c r="D99" s="1" t="n">
        <f aca="false">IF(A99&lt;60,0.55,
IF(A99&lt;=110,0.55*((110-A99)/50)+0.29*((A99-60)/50),0.29))</f>
        <v>0.29</v>
      </c>
      <c r="E99" s="1" t="n">
        <f aca="false">C99+(1-C99)*(1-D99)^(($E$1-1992)/20)</f>
        <v>1</v>
      </c>
      <c r="F99" s="1" t="n">
        <f aca="false">B99*E99</f>
        <v>0.45363</v>
      </c>
      <c r="G99" s="1" t="n">
        <f aca="false">ROUND(F99,6)</f>
        <v>0.45363</v>
      </c>
    </row>
    <row r="100" customFormat="false" ht="12.75" hidden="false" customHeight="false" outlineLevel="0" collapsed="false">
      <c r="A100" s="2" t="n">
        <v>118</v>
      </c>
      <c r="B100" s="3" t="n">
        <v>0.464038</v>
      </c>
      <c r="C100" s="1" t="n">
        <f aca="false">IF(A100&lt;60,0.13,
IF(A100&lt;=110,1-0.87*((110-A100)/50),1))</f>
        <v>1</v>
      </c>
      <c r="D100" s="1" t="n">
        <f aca="false">IF(A100&lt;60,0.55,
IF(A100&lt;=110,0.55*((110-A100)/50)+0.29*((A100-60)/50),0.29))</f>
        <v>0.29</v>
      </c>
      <c r="E100" s="1" t="n">
        <f aca="false">C100+(1-C100)*(1-D100)^(($E$1-1992)/20)</f>
        <v>1</v>
      </c>
      <c r="F100" s="1" t="n">
        <f aca="false">B100*E100</f>
        <v>0.464038</v>
      </c>
      <c r="G100" s="1" t="n">
        <f aca="false">ROUND(F100,6)</f>
        <v>0.464038</v>
      </c>
    </row>
    <row r="101" customFormat="false" ht="12.75" hidden="false" customHeight="false" outlineLevel="0" collapsed="false">
      <c r="A101" s="2" t="n">
        <v>119</v>
      </c>
      <c r="B101" s="3" t="n">
        <v>0.473947</v>
      </c>
      <c r="C101" s="1" t="n">
        <f aca="false">IF(A101&lt;60,0.13,
IF(A101&lt;=110,1-0.87*((110-A101)/50),1))</f>
        <v>1</v>
      </c>
      <c r="D101" s="1" t="n">
        <f aca="false">IF(A101&lt;60,0.55,
IF(A101&lt;=110,0.55*((110-A101)/50)+0.29*((A101-60)/50),0.29))</f>
        <v>0.29</v>
      </c>
      <c r="E101" s="1" t="n">
        <f aca="false">C101+(1-C101)*(1-D101)^(($E$1-1992)/20)</f>
        <v>1</v>
      </c>
      <c r="F101" s="1" t="n">
        <f aca="false">B101*E101</f>
        <v>0.473947</v>
      </c>
      <c r="G101" s="1" t="n">
        <f aca="false">ROUND(F101,6)</f>
        <v>0.473947</v>
      </c>
    </row>
    <row r="102" customFormat="false" ht="12.75" hidden="false" customHeight="false" outlineLevel="0" collapsed="false">
      <c r="A102" s="2" t="n">
        <v>120</v>
      </c>
      <c r="B102" s="3" t="n">
        <v>1</v>
      </c>
      <c r="C102" s="1" t="n">
        <f aca="false">IF(A102&lt;60,0.13,
IF(A102&lt;=110,1-0.87*((110-A102)/50),1))</f>
        <v>1</v>
      </c>
      <c r="D102" s="1" t="n">
        <f aca="false">IF(A102&lt;60,0.55,
IF(A102&lt;=110,0.55*((110-A102)/50)+0.29*((A102-60)/50),0.29))</f>
        <v>0.29</v>
      </c>
      <c r="E102" s="1" t="n">
        <f aca="false">C102+(1-C102)*(1-D102)^(($E$1-1992)/20)</f>
        <v>1</v>
      </c>
      <c r="F102" s="1" t="n">
        <f aca="false">B102*E102</f>
        <v>1</v>
      </c>
      <c r="G102" s="1" t="n">
        <f aca="false">ROUND(F102,6)</f>
        <v>1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D36" activeCellId="0" sqref="D35:D3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2" t="s">
        <v>0</v>
      </c>
      <c r="B1" s="1" t="s">
        <v>1</v>
      </c>
    </row>
    <row r="2" customFormat="false" ht="12.8" hidden="false" customHeight="false" outlineLevel="0" collapsed="false">
      <c r="A2" s="2" t="n">
        <v>20</v>
      </c>
      <c r="B2" s="1" t="n">
        <f aca="false">pfa92!G2</f>
        <v>8.4E-005</v>
      </c>
    </row>
    <row r="3" customFormat="false" ht="12.8" hidden="false" customHeight="false" outlineLevel="0" collapsed="false">
      <c r="A3" s="2" t="n">
        <v>21</v>
      </c>
      <c r="B3" s="1" t="n">
        <f aca="false">pfa92!G3</f>
        <v>8.4E-005</v>
      </c>
    </row>
    <row r="4" customFormat="false" ht="12.8" hidden="false" customHeight="false" outlineLevel="0" collapsed="false">
      <c r="A4" s="2" t="n">
        <v>22</v>
      </c>
      <c r="B4" s="1" t="n">
        <f aca="false">pfa92!G4</f>
        <v>8.4E-005</v>
      </c>
    </row>
    <row r="5" customFormat="false" ht="12.8" hidden="false" customHeight="false" outlineLevel="0" collapsed="false">
      <c r="A5" s="2" t="n">
        <v>23</v>
      </c>
      <c r="B5" s="1" t="n">
        <f aca="false">pfa92!G5</f>
        <v>8.4E-005</v>
      </c>
    </row>
    <row r="6" customFormat="false" ht="12.8" hidden="false" customHeight="false" outlineLevel="0" collapsed="false">
      <c r="A6" s="2" t="n">
        <v>24</v>
      </c>
      <c r="B6" s="1" t="n">
        <f aca="false">pfa92!G6</f>
        <v>8.4E-005</v>
      </c>
    </row>
    <row r="7" customFormat="false" ht="12.8" hidden="false" customHeight="false" outlineLevel="0" collapsed="false">
      <c r="A7" s="2" t="n">
        <v>25</v>
      </c>
      <c r="B7" s="1" t="n">
        <f aca="false">pfa92!G7</f>
        <v>8.4E-005</v>
      </c>
    </row>
    <row r="8" customFormat="false" ht="12.8" hidden="false" customHeight="false" outlineLevel="0" collapsed="false">
      <c r="A8" s="2" t="n">
        <v>26</v>
      </c>
      <c r="B8" s="1" t="n">
        <f aca="false">pfa92!G8</f>
        <v>8.5E-005</v>
      </c>
    </row>
    <row r="9" customFormat="false" ht="12.8" hidden="false" customHeight="false" outlineLevel="0" collapsed="false">
      <c r="A9" s="2" t="n">
        <v>27</v>
      </c>
      <c r="B9" s="1" t="n">
        <f aca="false">pfa92!G9</f>
        <v>8.5E-005</v>
      </c>
    </row>
    <row r="10" customFormat="false" ht="12.8" hidden="false" customHeight="false" outlineLevel="0" collapsed="false">
      <c r="A10" s="2" t="n">
        <v>28</v>
      </c>
      <c r="B10" s="1" t="n">
        <f aca="false">pfa92!G10</f>
        <v>8.7E-005</v>
      </c>
    </row>
    <row r="11" customFormat="false" ht="12.8" hidden="false" customHeight="false" outlineLevel="0" collapsed="false">
      <c r="A11" s="2" t="n">
        <v>29</v>
      </c>
      <c r="B11" s="1" t="n">
        <f aca="false">pfa92!G11</f>
        <v>8.8E-005</v>
      </c>
    </row>
    <row r="12" customFormat="false" ht="12.8" hidden="false" customHeight="false" outlineLevel="0" collapsed="false">
      <c r="A12" s="2" t="n">
        <v>30</v>
      </c>
      <c r="B12" s="1" t="n">
        <f aca="false">pfa92!G12</f>
        <v>9E-005</v>
      </c>
    </row>
    <row r="13" customFormat="false" ht="12.8" hidden="false" customHeight="false" outlineLevel="0" collapsed="false">
      <c r="A13" s="2" t="n">
        <v>31</v>
      </c>
      <c r="B13" s="1" t="n">
        <f aca="false">pfa92!G13</f>
        <v>9.2E-005</v>
      </c>
    </row>
    <row r="14" customFormat="false" ht="12.8" hidden="false" customHeight="false" outlineLevel="0" collapsed="false">
      <c r="A14" s="2" t="n">
        <v>32</v>
      </c>
      <c r="B14" s="1" t="n">
        <f aca="false">pfa92!G14</f>
        <v>9.5E-005</v>
      </c>
    </row>
    <row r="15" customFormat="false" ht="12.8" hidden="false" customHeight="false" outlineLevel="0" collapsed="false">
      <c r="A15" s="2" t="n">
        <v>33</v>
      </c>
      <c r="B15" s="1" t="n">
        <f aca="false">pfa92!G15</f>
        <v>9.9E-005</v>
      </c>
    </row>
    <row r="16" customFormat="false" ht="12.8" hidden="false" customHeight="false" outlineLevel="0" collapsed="false">
      <c r="A16" s="2" t="n">
        <v>34</v>
      </c>
      <c r="B16" s="1" t="n">
        <f aca="false">pfa92!G16</f>
        <v>0.000103</v>
      </c>
    </row>
    <row r="17" customFormat="false" ht="12.8" hidden="false" customHeight="false" outlineLevel="0" collapsed="false">
      <c r="A17" s="2" t="n">
        <v>35</v>
      </c>
      <c r="B17" s="1" t="n">
        <f aca="false">pfa92!G17</f>
        <v>0.000109</v>
      </c>
    </row>
    <row r="18" customFormat="false" ht="12.8" hidden="false" customHeight="false" outlineLevel="0" collapsed="false">
      <c r="A18" s="2" t="n">
        <v>36</v>
      </c>
      <c r="B18" s="1" t="n">
        <f aca="false">pfa92!G18</f>
        <v>0.000116</v>
      </c>
    </row>
    <row r="19" customFormat="false" ht="12.8" hidden="false" customHeight="false" outlineLevel="0" collapsed="false">
      <c r="A19" s="2" t="n">
        <v>37</v>
      </c>
      <c r="B19" s="1" t="n">
        <f aca="false">pfa92!G19</f>
        <v>0.000124</v>
      </c>
    </row>
    <row r="20" customFormat="false" ht="12.8" hidden="false" customHeight="false" outlineLevel="0" collapsed="false">
      <c r="A20" s="2" t="n">
        <v>38</v>
      </c>
      <c r="B20" s="1" t="n">
        <f aca="false">pfa92!G20</f>
        <v>0.000133</v>
      </c>
    </row>
    <row r="21" customFormat="false" ht="12.8" hidden="false" customHeight="false" outlineLevel="0" collapsed="false">
      <c r="A21" s="2" t="n">
        <v>39</v>
      </c>
      <c r="B21" s="1" t="n">
        <f aca="false">pfa92!G21</f>
        <v>0.000145</v>
      </c>
    </row>
    <row r="22" customFormat="false" ht="12.8" hidden="false" customHeight="false" outlineLevel="0" collapsed="false">
      <c r="A22" s="2" t="n">
        <v>40</v>
      </c>
      <c r="B22" s="1" t="n">
        <f aca="false">pfa92!G22</f>
        <v>0.000158</v>
      </c>
    </row>
    <row r="23" customFormat="false" ht="12.8" hidden="false" customHeight="false" outlineLevel="0" collapsed="false">
      <c r="A23" s="2" t="n">
        <v>41</v>
      </c>
      <c r="B23" s="1" t="n">
        <f aca="false">pfa92!G23</f>
        <v>0.000174</v>
      </c>
    </row>
    <row r="24" customFormat="false" ht="12.8" hidden="false" customHeight="false" outlineLevel="0" collapsed="false">
      <c r="A24" s="2" t="n">
        <v>42</v>
      </c>
      <c r="B24" s="1" t="n">
        <f aca="false">pfa92!G24</f>
        <v>0.000194</v>
      </c>
    </row>
    <row r="25" customFormat="false" ht="12.8" hidden="false" customHeight="false" outlineLevel="0" collapsed="false">
      <c r="A25" s="2" t="n">
        <v>43</v>
      </c>
      <c r="B25" s="1" t="n">
        <f aca="false">pfa92!G25</f>
        <v>0.000216</v>
      </c>
    </row>
    <row r="26" customFormat="false" ht="12.8" hidden="false" customHeight="false" outlineLevel="0" collapsed="false">
      <c r="A26" s="2" t="n">
        <v>44</v>
      </c>
      <c r="B26" s="1" t="n">
        <f aca="false">pfa92!G26</f>
        <v>0.000243</v>
      </c>
    </row>
    <row r="27" customFormat="false" ht="12.8" hidden="false" customHeight="false" outlineLevel="0" collapsed="false">
      <c r="A27" s="2" t="n">
        <v>45</v>
      </c>
      <c r="B27" s="1" t="n">
        <f aca="false">pfa92!G27</f>
        <v>0.000274</v>
      </c>
    </row>
    <row r="28" customFormat="false" ht="12.8" hidden="false" customHeight="false" outlineLevel="0" collapsed="false">
      <c r="A28" s="2" t="n">
        <v>46</v>
      </c>
      <c r="B28" s="1" t="n">
        <f aca="false">pfa92!G28</f>
        <v>0.000311</v>
      </c>
    </row>
    <row r="29" customFormat="false" ht="12.8" hidden="false" customHeight="false" outlineLevel="0" collapsed="false">
      <c r="A29" s="2" t="n">
        <v>47</v>
      </c>
      <c r="B29" s="1" t="n">
        <f aca="false">pfa92!G29</f>
        <v>0.000353</v>
      </c>
    </row>
    <row r="30" customFormat="false" ht="12.8" hidden="false" customHeight="false" outlineLevel="0" collapsed="false">
      <c r="A30" s="2" t="n">
        <v>48</v>
      </c>
      <c r="B30" s="1" t="n">
        <f aca="false">pfa92!G30</f>
        <v>0.000403</v>
      </c>
    </row>
    <row r="31" customFormat="false" ht="12.8" hidden="false" customHeight="false" outlineLevel="0" collapsed="false">
      <c r="A31" s="2" t="n">
        <v>49</v>
      </c>
      <c r="B31" s="1" t="n">
        <f aca="false">pfa92!G31</f>
        <v>0.00046</v>
      </c>
    </row>
    <row r="32" customFormat="false" ht="12.8" hidden="false" customHeight="false" outlineLevel="0" collapsed="false">
      <c r="A32" s="2" t="n">
        <v>50</v>
      </c>
      <c r="B32" s="1" t="n">
        <f aca="false">pfa92!G32</f>
        <v>0.000527</v>
      </c>
    </row>
    <row r="33" customFormat="false" ht="12.8" hidden="false" customHeight="false" outlineLevel="0" collapsed="false">
      <c r="A33" s="2" t="n">
        <v>51</v>
      </c>
      <c r="B33" s="1" t="n">
        <f aca="false">pfa92!G33</f>
        <v>0.000603</v>
      </c>
    </row>
    <row r="34" customFormat="false" ht="12.8" hidden="false" customHeight="false" outlineLevel="0" collapsed="false">
      <c r="A34" s="2" t="n">
        <v>52</v>
      </c>
      <c r="B34" s="1" t="n">
        <f aca="false">pfa92!G34</f>
        <v>0.000692</v>
      </c>
    </row>
    <row r="35" customFormat="false" ht="12.8" hidden="false" customHeight="false" outlineLevel="0" collapsed="false">
      <c r="A35" s="2" t="n">
        <v>53</v>
      </c>
      <c r="B35" s="1" t="n">
        <f aca="false">pfa92!G35</f>
        <v>0.000795</v>
      </c>
    </row>
    <row r="36" customFormat="false" ht="12.8" hidden="false" customHeight="false" outlineLevel="0" collapsed="false">
      <c r="A36" s="2" t="n">
        <v>54</v>
      </c>
      <c r="B36" s="1" t="n">
        <f aca="false">pfa92!G36</f>
        <v>0.000912</v>
      </c>
    </row>
    <row r="37" customFormat="false" ht="12.8" hidden="false" customHeight="false" outlineLevel="0" collapsed="false">
      <c r="A37" s="2" t="n">
        <v>55</v>
      </c>
      <c r="B37" s="1" t="n">
        <f aca="false">pfa92!G37</f>
        <v>0.001046</v>
      </c>
    </row>
    <row r="38" customFormat="false" ht="12.8" hidden="false" customHeight="false" outlineLevel="0" collapsed="false">
      <c r="A38" s="2" t="n">
        <v>56</v>
      </c>
      <c r="B38" s="1" t="n">
        <f aca="false">pfa92!G38</f>
        <v>0.001199</v>
      </c>
    </row>
    <row r="39" customFormat="false" ht="12.8" hidden="false" customHeight="false" outlineLevel="0" collapsed="false">
      <c r="A39" s="2" t="n">
        <v>57</v>
      </c>
      <c r="B39" s="1" t="n">
        <f aca="false">pfa92!G39</f>
        <v>0.001375</v>
      </c>
    </row>
    <row r="40" customFormat="false" ht="12.8" hidden="false" customHeight="false" outlineLevel="0" collapsed="false">
      <c r="A40" s="2" t="n">
        <v>58</v>
      </c>
      <c r="B40" s="1" t="n">
        <f aca="false">pfa92!G40</f>
        <v>0.001575</v>
      </c>
    </row>
    <row r="41" customFormat="false" ht="12.8" hidden="false" customHeight="false" outlineLevel="0" collapsed="false">
      <c r="A41" s="2" t="n">
        <v>59</v>
      </c>
      <c r="B41" s="1" t="n">
        <f aca="false">pfa92!G41</f>
        <v>0.001801</v>
      </c>
    </row>
    <row r="42" customFormat="false" ht="12.8" hidden="false" customHeight="false" outlineLevel="0" collapsed="false">
      <c r="A42" s="2" t="n">
        <v>60</v>
      </c>
      <c r="B42" s="1" t="n">
        <f aca="false">pfa92!G42</f>
        <v>0.002058</v>
      </c>
    </row>
    <row r="43" customFormat="false" ht="12.8" hidden="false" customHeight="false" outlineLevel="0" collapsed="false">
      <c r="A43" s="2" t="n">
        <v>61</v>
      </c>
      <c r="B43" s="1" t="n">
        <f aca="false">pfa92!G43</f>
        <v>0.002441</v>
      </c>
    </row>
    <row r="44" customFormat="false" ht="12.8" hidden="false" customHeight="false" outlineLevel="0" collapsed="false">
      <c r="A44" s="2" t="n">
        <v>62</v>
      </c>
      <c r="B44" s="1" t="n">
        <f aca="false">pfa92!G44</f>
        <v>0.002885</v>
      </c>
    </row>
    <row r="45" customFormat="false" ht="12.8" hidden="false" customHeight="false" outlineLevel="0" collapsed="false">
      <c r="A45" s="2" t="n">
        <v>63</v>
      </c>
      <c r="B45" s="1" t="n">
        <f aca="false">pfa92!G45</f>
        <v>0.003401</v>
      </c>
    </row>
    <row r="46" customFormat="false" ht="12.8" hidden="false" customHeight="false" outlineLevel="0" collapsed="false">
      <c r="A46" s="2" t="n">
        <v>64</v>
      </c>
      <c r="B46" s="1" t="n">
        <f aca="false">pfa92!G46</f>
        <v>0.003996</v>
      </c>
    </row>
    <row r="47" customFormat="false" ht="12.8" hidden="false" customHeight="false" outlineLevel="0" collapsed="false">
      <c r="A47" s="2" t="n">
        <v>65</v>
      </c>
      <c r="B47" s="1" t="n">
        <f aca="false">pfa92!G47</f>
        <v>0.004681</v>
      </c>
    </row>
    <row r="48" customFormat="false" ht="12.8" hidden="false" customHeight="false" outlineLevel="0" collapsed="false">
      <c r="A48" s="2" t="n">
        <v>66</v>
      </c>
      <c r="B48" s="1" t="n">
        <f aca="false">pfa92!G48</f>
        <v>0.005467</v>
      </c>
    </row>
    <row r="49" customFormat="false" ht="12.8" hidden="false" customHeight="false" outlineLevel="0" collapsed="false">
      <c r="A49" s="2" t="n">
        <v>67</v>
      </c>
      <c r="B49" s="1" t="n">
        <f aca="false">pfa92!G49</f>
        <v>0.006367</v>
      </c>
    </row>
    <row r="50" customFormat="false" ht="12.8" hidden="false" customHeight="false" outlineLevel="0" collapsed="false">
      <c r="A50" s="2" t="n">
        <v>68</v>
      </c>
      <c r="B50" s="1" t="n">
        <f aca="false">pfa92!G50</f>
        <v>0.007395</v>
      </c>
    </row>
    <row r="51" customFormat="false" ht="12.8" hidden="false" customHeight="false" outlineLevel="0" collapsed="false">
      <c r="A51" s="2" t="n">
        <v>69</v>
      </c>
      <c r="B51" s="1" t="n">
        <f aca="false">pfa92!G51</f>
        <v>0.008563</v>
      </c>
    </row>
    <row r="52" customFormat="false" ht="12.8" hidden="false" customHeight="false" outlineLevel="0" collapsed="false">
      <c r="A52" s="2" t="n">
        <v>70</v>
      </c>
      <c r="B52" s="1" t="n">
        <f aca="false">pfa92!G52</f>
        <v>0.009888</v>
      </c>
    </row>
    <row r="53" customFormat="false" ht="12.8" hidden="false" customHeight="false" outlineLevel="0" collapsed="false">
      <c r="A53" s="2" t="n">
        <v>71</v>
      </c>
      <c r="B53" s="1" t="n">
        <f aca="false">pfa92!G53</f>
        <v>0.011386</v>
      </c>
    </row>
    <row r="54" customFormat="false" ht="12.8" hidden="false" customHeight="false" outlineLevel="0" collapsed="false">
      <c r="A54" s="2" t="n">
        <v>72</v>
      </c>
      <c r="B54" s="1" t="n">
        <f aca="false">pfa92!G54</f>
        <v>0.013075</v>
      </c>
    </row>
    <row r="55" customFormat="false" ht="12.8" hidden="false" customHeight="false" outlineLevel="0" collapsed="false">
      <c r="A55" s="2" t="n">
        <v>73</v>
      </c>
      <c r="B55" s="1" t="n">
        <f aca="false">pfa92!G55</f>
        <v>0.014973</v>
      </c>
    </row>
    <row r="56" customFormat="false" ht="12.8" hidden="false" customHeight="false" outlineLevel="0" collapsed="false">
      <c r="A56" s="2" t="n">
        <v>74</v>
      </c>
      <c r="B56" s="1" t="n">
        <f aca="false">pfa92!G56</f>
        <v>0.0171</v>
      </c>
    </row>
    <row r="57" customFormat="false" ht="12.8" hidden="false" customHeight="false" outlineLevel="0" collapsed="false">
      <c r="A57" s="2" t="n">
        <v>75</v>
      </c>
      <c r="B57" s="1" t="n">
        <f aca="false">pfa92!G57</f>
        <v>0.019478</v>
      </c>
    </row>
    <row r="58" customFormat="false" ht="12.8" hidden="false" customHeight="false" outlineLevel="0" collapsed="false">
      <c r="A58" s="2" t="n">
        <v>76</v>
      </c>
      <c r="B58" s="1" t="n">
        <f aca="false">pfa92!G58</f>
        <v>0.022127</v>
      </c>
    </row>
    <row r="59" customFormat="false" ht="12.8" hidden="false" customHeight="false" outlineLevel="0" collapsed="false">
      <c r="A59" s="2" t="n">
        <v>77</v>
      </c>
      <c r="B59" s="1" t="n">
        <f aca="false">pfa92!G59</f>
        <v>0.025069</v>
      </c>
    </row>
    <row r="60" customFormat="false" ht="12.8" hidden="false" customHeight="false" outlineLevel="0" collapsed="false">
      <c r="A60" s="2" t="n">
        <v>78</v>
      </c>
      <c r="B60" s="1" t="n">
        <f aca="false">pfa92!G60</f>
        <v>0.028326</v>
      </c>
    </row>
    <row r="61" customFormat="false" ht="12.8" hidden="false" customHeight="false" outlineLevel="0" collapsed="false">
      <c r="A61" s="2" t="n">
        <v>79</v>
      </c>
      <c r="B61" s="1" t="n">
        <f aca="false">pfa92!G61</f>
        <v>0.031923</v>
      </c>
    </row>
    <row r="62" customFormat="false" ht="12.8" hidden="false" customHeight="false" outlineLevel="0" collapsed="false">
      <c r="A62" s="2" t="n">
        <v>80</v>
      </c>
      <c r="B62" s="1" t="n">
        <f aca="false">pfa92!G62</f>
        <v>0.035882</v>
      </c>
    </row>
    <row r="63" customFormat="false" ht="12.8" hidden="false" customHeight="false" outlineLevel="0" collapsed="false">
      <c r="A63" s="2" t="n">
        <v>81</v>
      </c>
      <c r="B63" s="1" t="n">
        <f aca="false">pfa92!G63</f>
        <v>0.040227</v>
      </c>
    </row>
    <row r="64" customFormat="false" ht="12.8" hidden="false" customHeight="false" outlineLevel="0" collapsed="false">
      <c r="A64" s="2" t="n">
        <v>82</v>
      </c>
      <c r="B64" s="1" t="n">
        <f aca="false">pfa92!G64</f>
        <v>0.044981</v>
      </c>
    </row>
    <row r="65" customFormat="false" ht="12.8" hidden="false" customHeight="false" outlineLevel="0" collapsed="false">
      <c r="A65" s="2" t="n">
        <v>83</v>
      </c>
      <c r="B65" s="1" t="n">
        <f aca="false">pfa92!G65</f>
        <v>0.050166</v>
      </c>
    </row>
    <row r="66" customFormat="false" ht="12.8" hidden="false" customHeight="false" outlineLevel="0" collapsed="false">
      <c r="A66" s="2" t="n">
        <v>84</v>
      </c>
      <c r="B66" s="1" t="n">
        <f aca="false">pfa92!G66</f>
        <v>0.055804</v>
      </c>
    </row>
    <row r="67" customFormat="false" ht="12.8" hidden="false" customHeight="false" outlineLevel="0" collapsed="false">
      <c r="A67" s="2" t="n">
        <v>85</v>
      </c>
      <c r="B67" s="1" t="n">
        <f aca="false">pfa92!G67</f>
        <v>0.061915</v>
      </c>
    </row>
    <row r="68" customFormat="false" ht="12.8" hidden="false" customHeight="false" outlineLevel="0" collapsed="false">
      <c r="A68" s="2" t="n">
        <v>86</v>
      </c>
      <c r="B68" s="1" t="n">
        <f aca="false">pfa92!G68</f>
        <v>0.068518</v>
      </c>
    </row>
    <row r="69" customFormat="false" ht="12.8" hidden="false" customHeight="false" outlineLevel="0" collapsed="false">
      <c r="A69" s="2" t="n">
        <v>87</v>
      </c>
      <c r="B69" s="1" t="n">
        <f aca="false">pfa92!G69</f>
        <v>0.075631</v>
      </c>
    </row>
    <row r="70" customFormat="false" ht="12.8" hidden="false" customHeight="false" outlineLevel="0" collapsed="false">
      <c r="A70" s="2" t="n">
        <v>88</v>
      </c>
      <c r="B70" s="1" t="n">
        <f aca="false">pfa92!G70</f>
        <v>0.08327</v>
      </c>
    </row>
    <row r="71" customFormat="false" ht="12.8" hidden="false" customHeight="false" outlineLevel="0" collapsed="false">
      <c r="A71" s="2" t="n">
        <v>89</v>
      </c>
      <c r="B71" s="1" t="n">
        <f aca="false">pfa92!G71</f>
        <v>0.091444</v>
      </c>
    </row>
    <row r="72" customFormat="false" ht="12.8" hidden="false" customHeight="false" outlineLevel="0" collapsed="false">
      <c r="A72" s="2" t="n">
        <v>90</v>
      </c>
      <c r="B72" s="1" t="n">
        <f aca="false">pfa92!G72</f>
        <v>0.100164</v>
      </c>
    </row>
    <row r="73" customFormat="false" ht="12.8" hidden="false" customHeight="false" outlineLevel="0" collapsed="false">
      <c r="A73" s="2" t="n">
        <v>91</v>
      </c>
      <c r="B73" s="1" t="n">
        <f aca="false">pfa92!G73</f>
        <v>0.109437</v>
      </c>
    </row>
    <row r="74" customFormat="false" ht="12.8" hidden="false" customHeight="false" outlineLevel="0" collapsed="false">
      <c r="A74" s="2" t="n">
        <v>92</v>
      </c>
      <c r="B74" s="1" t="n">
        <f aca="false">pfa92!G74</f>
        <v>0.119266</v>
      </c>
    </row>
    <row r="75" customFormat="false" ht="12.8" hidden="false" customHeight="false" outlineLevel="0" collapsed="false">
      <c r="A75" s="2" t="n">
        <v>93</v>
      </c>
      <c r="B75" s="1" t="n">
        <f aca="false">pfa92!G75</f>
        <v>0.12965</v>
      </c>
    </row>
    <row r="76" customFormat="false" ht="12.8" hidden="false" customHeight="false" outlineLevel="0" collapsed="false">
      <c r="A76" s="2" t="n">
        <v>94</v>
      </c>
      <c r="B76" s="1" t="n">
        <f aca="false">pfa92!G76</f>
        <v>0.140582</v>
      </c>
    </row>
    <row r="77" customFormat="false" ht="12.8" hidden="false" customHeight="false" outlineLevel="0" collapsed="false">
      <c r="A77" s="2" t="n">
        <v>95</v>
      </c>
      <c r="B77" s="1" t="n">
        <f aca="false">pfa92!G77</f>
        <v>0.152053</v>
      </c>
    </row>
    <row r="78" customFormat="false" ht="12.8" hidden="false" customHeight="false" outlineLevel="0" collapsed="false">
      <c r="A78" s="2" t="n">
        <v>96</v>
      </c>
      <c r="B78" s="1" t="n">
        <f aca="false">pfa92!G78</f>
        <v>0.164051</v>
      </c>
    </row>
    <row r="79" customFormat="false" ht="12.8" hidden="false" customHeight="false" outlineLevel="0" collapsed="false">
      <c r="A79" s="2" t="n">
        <v>97</v>
      </c>
      <c r="B79" s="1" t="n">
        <f aca="false">pfa92!G79</f>
        <v>0.176555</v>
      </c>
    </row>
    <row r="80" customFormat="false" ht="12.8" hidden="false" customHeight="false" outlineLevel="0" collapsed="false">
      <c r="A80" s="2" t="n">
        <v>98</v>
      </c>
      <c r="B80" s="1" t="n">
        <f aca="false">pfa92!G80</f>
        <v>0.189545</v>
      </c>
    </row>
    <row r="81" customFormat="false" ht="12.8" hidden="false" customHeight="false" outlineLevel="0" collapsed="false">
      <c r="A81" s="2" t="n">
        <v>99</v>
      </c>
      <c r="B81" s="1" t="n">
        <f aca="false">pfa92!G81</f>
        <v>0.202991</v>
      </c>
    </row>
    <row r="82" customFormat="false" ht="12.8" hidden="false" customHeight="false" outlineLevel="0" collapsed="false">
      <c r="A82" s="2" t="n">
        <v>100</v>
      </c>
      <c r="B82" s="1" t="n">
        <f aca="false">pfa92!G82</f>
        <v>0.216863</v>
      </c>
    </row>
    <row r="83" customFormat="false" ht="12.8" hidden="false" customHeight="false" outlineLevel="0" collapsed="false">
      <c r="A83" s="2" t="n">
        <v>101</v>
      </c>
      <c r="B83" s="1" t="n">
        <f aca="false">pfa92!G83</f>
        <v>0.231125</v>
      </c>
    </row>
    <row r="84" customFormat="false" ht="12.8" hidden="false" customHeight="false" outlineLevel="0" collapsed="false">
      <c r="A84" s="2" t="n">
        <v>102</v>
      </c>
      <c r="B84" s="1" t="n">
        <f aca="false">pfa92!G84</f>
        <v>0.245737</v>
      </c>
    </row>
    <row r="85" customFormat="false" ht="12.8" hidden="false" customHeight="false" outlineLevel="0" collapsed="false">
      <c r="A85" s="2" t="n">
        <v>103</v>
      </c>
      <c r="B85" s="1" t="n">
        <f aca="false">pfa92!G85</f>
        <v>0.260654</v>
      </c>
    </row>
    <row r="86" customFormat="false" ht="12.8" hidden="false" customHeight="false" outlineLevel="0" collapsed="false">
      <c r="A86" s="2" t="n">
        <v>104</v>
      </c>
      <c r="B86" s="1" t="n">
        <f aca="false">pfa92!G86</f>
        <v>0.27583</v>
      </c>
    </row>
    <row r="87" customFormat="false" ht="12.8" hidden="false" customHeight="false" outlineLevel="0" collapsed="false">
      <c r="A87" s="2" t="n">
        <v>105</v>
      </c>
      <c r="B87" s="1" t="n">
        <f aca="false">pfa92!G87</f>
        <v>0.291217</v>
      </c>
    </row>
    <row r="88" customFormat="false" ht="12.8" hidden="false" customHeight="false" outlineLevel="0" collapsed="false">
      <c r="A88" s="2" t="n">
        <v>106</v>
      </c>
      <c r="B88" s="1" t="n">
        <f aca="false">pfa92!G88</f>
        <v>0.30676</v>
      </c>
    </row>
    <row r="89" customFormat="false" ht="12.8" hidden="false" customHeight="false" outlineLevel="0" collapsed="false">
      <c r="A89" s="2" t="n">
        <v>107</v>
      </c>
      <c r="B89" s="1" t="n">
        <f aca="false">pfa92!G89</f>
        <v>0.322407</v>
      </c>
    </row>
    <row r="90" customFormat="false" ht="12.8" hidden="false" customHeight="false" outlineLevel="0" collapsed="false">
      <c r="A90" s="2" t="n">
        <v>108</v>
      </c>
      <c r="B90" s="1" t="n">
        <f aca="false">pfa92!G90</f>
        <v>0.3381</v>
      </c>
    </row>
    <row r="91" customFormat="false" ht="12.8" hidden="false" customHeight="false" outlineLevel="0" collapsed="false">
      <c r="A91" s="2" t="n">
        <v>109</v>
      </c>
      <c r="B91" s="1" t="n">
        <f aca="false">pfa92!G91</f>
        <v>0.353785</v>
      </c>
    </row>
    <row r="92" customFormat="false" ht="12.8" hidden="false" customHeight="false" outlineLevel="0" collapsed="false">
      <c r="A92" s="2" t="n">
        <v>110</v>
      </c>
      <c r="B92" s="1" t="n">
        <f aca="false">pfa92!G92</f>
        <v>0.369403</v>
      </c>
    </row>
    <row r="93" customFormat="false" ht="12.8" hidden="false" customHeight="false" outlineLevel="0" collapsed="false">
      <c r="A93" s="2" t="n">
        <v>111</v>
      </c>
      <c r="B93" s="1" t="n">
        <f aca="false">pfa92!G93</f>
        <v>0.382406</v>
      </c>
    </row>
    <row r="94" customFormat="false" ht="12.8" hidden="false" customHeight="false" outlineLevel="0" collapsed="false">
      <c r="A94" s="2" t="n">
        <v>112</v>
      </c>
      <c r="B94" s="1" t="n">
        <f aca="false">pfa92!G94</f>
        <v>0.39515</v>
      </c>
    </row>
    <row r="95" customFormat="false" ht="12.8" hidden="false" customHeight="false" outlineLevel="0" collapsed="false">
      <c r="A95" s="2" t="n">
        <v>113</v>
      </c>
      <c r="B95" s="1" t="n">
        <f aca="false">pfa92!G95</f>
        <v>0.407594</v>
      </c>
    </row>
    <row r="96" customFormat="false" ht="12.8" hidden="false" customHeight="false" outlineLevel="0" collapsed="false">
      <c r="A96" s="2" t="n">
        <v>114</v>
      </c>
      <c r="B96" s="1" t="n">
        <f aca="false">pfa92!G96</f>
        <v>0.4197</v>
      </c>
    </row>
    <row r="97" customFormat="false" ht="12.8" hidden="false" customHeight="false" outlineLevel="0" collapsed="false">
      <c r="A97" s="2" t="n">
        <v>115</v>
      </c>
      <c r="B97" s="1" t="n">
        <f aca="false">pfa92!G97</f>
        <v>0.431431</v>
      </c>
    </row>
    <row r="98" customFormat="false" ht="12.8" hidden="false" customHeight="false" outlineLevel="0" collapsed="false">
      <c r="A98" s="2" t="n">
        <v>116</v>
      </c>
      <c r="B98" s="1" t="n">
        <f aca="false">pfa92!G98</f>
        <v>0.442752</v>
      </c>
    </row>
    <row r="99" customFormat="false" ht="12.8" hidden="false" customHeight="false" outlineLevel="0" collapsed="false">
      <c r="A99" s="2" t="n">
        <v>117</v>
      </c>
      <c r="B99" s="1" t="n">
        <f aca="false">pfa92!G99</f>
        <v>0.45363</v>
      </c>
    </row>
    <row r="100" customFormat="false" ht="12.8" hidden="false" customHeight="false" outlineLevel="0" collapsed="false">
      <c r="A100" s="2" t="n">
        <v>118</v>
      </c>
      <c r="B100" s="1" t="n">
        <f aca="false">pfa92!G100</f>
        <v>0.464038</v>
      </c>
    </row>
    <row r="101" customFormat="false" ht="12.8" hidden="false" customHeight="false" outlineLevel="0" collapsed="false">
      <c r="A101" s="2" t="n">
        <v>119</v>
      </c>
      <c r="B101" s="1" t="n">
        <f aca="false">pfa92!G101</f>
        <v>0.473947</v>
      </c>
    </row>
    <row r="102" customFormat="false" ht="12.8" hidden="false" customHeight="false" outlineLevel="0" collapsed="false">
      <c r="A102" s="2" t="n">
        <v>120</v>
      </c>
      <c r="B102" s="1" t="n">
        <f aca="false">pfa92!G102</f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LibreOffice/25.2.5.2$Linux_X86_64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2007-08-02T06:40:10Z</dcterms:created>
  <dc:creator>ss</dc:creator>
  <dc:description/>
  <dc:language>en-US</dc:language>
  <cp:lastModifiedBy/>
  <dcterms:modified xsi:type="dcterms:W3CDTF">2025-07-26T22:10:54Z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